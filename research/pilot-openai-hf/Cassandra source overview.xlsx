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3"/>
    <sheet name="Coverage summary" sheetId="2" state="visible" r:id="rId4"/>
    <sheet name="Coverage" sheetId="3" state="visible" r:id="rId5"/>
    <sheet name="Follow-ups" sheetId="4" state="visible" r:id="rId6"/>
  </sheets>
  <definedNames>
    <definedName function="false" hidden="true" localSheetId="2" name="_xlnm._FilterDatabase" vbProcedure="false">Coverage!$A$4:$F$145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<sst xmlns="http://schemas.openxmlformats.org/spreadsheetml/2006/main" count="689" uniqueCount="359">
  <si>
    <t xml:space="preserve">Sources by category: OpenAI–Hugging Face (CAS-2026-0001)</t>
  </si>
  <si>
    <t xml:space="preserve">Counts after deduplication, as of 19 Oct 2026. Round 1 and Now are counts from the merged review list; Added is calculated.</t>
  </si>
  <si>
    <t xml:space="preserve">Category</t>
  </si>
  <si>
    <t xml:space="preserve">Round 1</t>
  </si>
  <si>
    <t xml:space="preserve">Added in round 2</t>
  </si>
  <si>
    <t xml:space="preserve">Now</t>
  </si>
  <si>
    <t xml:space="preserve">Expert newsletters and commentary</t>
  </si>
  <si>
    <t xml:space="preserve">Think-tank analysis</t>
  </si>
  <si>
    <t xml:space="preserve">Podcasts and video</t>
  </si>
  <si>
    <t xml:space="preserve">News articles</t>
  </si>
  <si>
    <t xml:space="preserve">Official and legal documents</t>
  </si>
  <si>
    <t xml:space="preserve">Technical reports and papers</t>
  </si>
  <si>
    <t xml:space="preserve">Company disclosures</t>
  </si>
  <si>
    <t xml:space="preserve">Datasets and trackers</t>
  </si>
  <si>
    <t xml:space="preserve">Total</t>
  </si>
  <si>
    <t xml:space="preserve">Blue figures are counts taken from the merged review list (research/pilot-openai-hf). Black figures are formulas.</t>
  </si>
  <si>
    <t xml:space="preserve">Coverage summary</t>
  </si>
  <si>
    <t xml:space="preserve">Calculated from the Coverage sheet.</t>
  </si>
  <si>
    <t xml:space="preserve">Group</t>
  </si>
  <si>
    <t xml:space="preserve">Names checked</t>
  </si>
  <si>
    <t xml:space="preserve">Published on incident</t>
  </si>
  <si>
    <t xml:space="preserve">Share published</t>
  </si>
  <si>
    <t xml:space="preserve">Leading organisations and education</t>
  </si>
  <si>
    <t xml:space="preserve">Expert newsletters</t>
  </si>
  <si>
    <t xml:space="preserve">Think tanks</t>
  </si>
  <si>
    <t xml:space="preserve">What we checked: writers, think tanks and organisations</t>
  </si>
  <si>
    <t xml:space="preserve">One row per name searched in round 2. "Published on incident" = Yes if the researcher found and opened something on this incident.</t>
  </si>
  <si>
    <t xml:space="preserve">Name</t>
  </si>
  <si>
    <t xml:space="preserve">Outlet</t>
  </si>
  <si>
    <t xml:space="preserve">Links found</t>
  </si>
  <si>
    <t xml:space="preserve">Researcher note</t>
  </si>
  <si>
    <t xml:space="preserve">BlueDot Impact</t>
  </si>
  <si>
    <t xml:space="preserve">Yes</t>
  </si>
  <si>
    <t xml:space="preserve">https://bluedot.org/courses/ai-governance/1/3
https://bluedot.org/courses/agi-strategy/1/4</t>
  </si>
  <si>
    <t xml:space="preserve">Two dedicated course lessons, in Frontier AI Governance (U1.3) and AGI Strategy (U1.4). No blog post about the incident; the 12 Sep 'What we're building' post mentions only 'rogue AI swarms' in general terms. No lesson title or reading in Technical AI Safety mentions the incident (lessons 3/4 and 5/1 checked), and none in the Future of AI or Biosecurity course pages.</t>
  </si>
  <si>
    <t xml:space="preserve">AISafety.com</t>
  </si>
  <si>
    <t xml:space="preserve">No</t>
  </si>
  <si>
    <t xml:space="preserve">Nothing found from AISafety.com itself. Searches surfaced only third-party discussion-group listings (e.g. luma.com SAIN Amsterdam), which were not opened.</t>
  </si>
  <si>
    <t xml:space="preserve">AI Safety Info (Stampy)</t>
  </si>
  <si>
    <t xml:space="preserve">One search; no aisafety.info page surfaced.</t>
  </si>
  <si>
    <t xml:space="preserve">80,000 Hours</t>
  </si>
  <si>
    <t xml:space="preserve">https://80000hours.org/podcast/episodes/hugging-face-hack/
https://www.youtube.com/watch?v=xOi5nDH0lu0
https://80000hours.substack.com/p/the-future-of-ai-crime
https://80000hours.org/problem-profiles/loss-of-control/</t>
  </si>
  <si>
    <t xml:space="preserve">Podcast/video explainer, a newsletter article and an updated problem profile. The site banner links an incident hub page, which was not located. The May METR rogue-deployments episode predates the incident.</t>
  </si>
  <si>
    <t xml:space="preserve">MATS</t>
  </si>
  <si>
    <t xml:space="preserve">Combined search with ERA/LASR; nothing found.</t>
  </si>
  <si>
    <t xml:space="preserve">ERA Cambridge</t>
  </si>
  <si>
    <t xml:space="preserve">Nothing found.</t>
  </si>
  <si>
    <t xml:space="preserve">LASR Labs</t>
  </si>
  <si>
    <t xml:space="preserve">Constellation</t>
  </si>
  <si>
    <t xml:space="preserve">Apart Research</t>
  </si>
  <si>
    <t xml:space="preserve">https://apartresearch.com/sprints/projects/one-incident-four-regimes-an-evidencesufficient-request-for-information-a-filed-critical-safety-incident-report-and-two-fixes-to-the-ai-kill-switch-act-dm64</t>
  </si>
  <si>
    <t xml:space="preserve">Only the sprint project already in ALREADY_HAVE. No new Apart items found.</t>
  </si>
  <si>
    <t xml:space="preserve">Cooperative AI Foundation</t>
  </si>
  <si>
    <t xml:space="preserve">https://www.cooperativeai.com/post/lessons-from-multi-agent-safety-incidents</t>
  </si>
  <si>
    <t xml:space="preserve">Dedicated incident-lessons post (26 Aug). Its 2 Sep IASEAI multi-agent governance memo does not mention the incident. The LessWrong multi-agent post (already have) is by an individual with no stated CAIF affiliation.</t>
  </si>
  <si>
    <t xml:space="preserve">EA Forum / LessWrong (organisational posts)</t>
  </si>
  <si>
    <t xml:space="preserve">https://forum.effectivealtruism.org/posts/aPsKjouh9YhTMBqtM/the-hugging-face-attack-surprised-me</t>
  </si>
  <si>
    <t xml:space="preserve">Only items already in ALREADY_HAVE (Cotra crosspost, multi-agent post). The CAIS AI Safety Newsletter sequence on LessWrong shows no 2026 issues; the AISN issues 78-80 are already held.</t>
  </si>
  <si>
    <t xml:space="preserve">METR</t>
  </si>
  <si>
    <t xml:space="preserve">https://metr.org/blog/2026-09-30-chris-painter-senate-testimony/</t>
  </si>
  <si>
    <t xml:space="preserve">New: METR's copy of the Painter testimony. Investigation report, 28 Jul post and agent-incidents page already held. The agent-incidents page was last updated 19 May 2026 and does not list the HF incident.</t>
  </si>
  <si>
    <t xml:space="preserve">Redwood Research</t>
  </si>
  <si>
    <t xml:space="preserve">Only items already held (research page, blog post, brief investigation). Nothing further found.</t>
  </si>
  <si>
    <t xml:space="preserve">Apollo Research</t>
  </si>
  <si>
    <t xml:space="preserve">https://apolloresearch.ai/blog/embedded-evaluators-are-necessary-for-meaningful-external-testing
https://apolloresearch.ai/blog/on-testifying-on-misaligned-ai-in-the-us-senate</t>
  </si>
  <si>
    <t xml:space="preserve">Two new blog posts (29-30 Sep). Apollo also ran evaluations cited in the GPT-6 Astra system card.</t>
  </si>
  <si>
    <t xml:space="preserve">Palisade Research</t>
  </si>
  <si>
    <t xml:space="preserve">https://swarmtraces.org/</t>
  </si>
  <si>
    <t xml:space="preserve">Jeffrey Ladish (Palisade) is a co-author of swarmtraces.org, which is already held. No Palisade-branded post was found.</t>
  </si>
  <si>
    <t xml:space="preserve">FAR.AI</t>
  </si>
  <si>
    <t xml:space="preserve">Epoch AI</t>
  </si>
  <si>
    <t xml:space="preserve">AI Futures Project</t>
  </si>
  <si>
    <t xml:space="preserve">Kokotajlo's HSGAC testimony is already held. The blog index (blog.aifutures.org) did not render, so whether it has posts on the incident is unverified.</t>
  </si>
  <si>
    <t xml:space="preserve">AI Lab Watch</t>
  </si>
  <si>
    <t xml:space="preserve">MIRI</t>
  </si>
  <si>
    <t xml:space="preserve">Conjecture</t>
  </si>
  <si>
    <t xml:space="preserve">Not searched separately (search budget exhausted).</t>
  </si>
  <si>
    <t xml:space="preserve">ControlAI</t>
  </si>
  <si>
    <t xml:space="preserve">Combined search with PauseAI; nothing from either organisation.</t>
  </si>
  <si>
    <t xml:space="preserve">PauseAI</t>
  </si>
  <si>
    <t xml:space="preserve">Nothing incident-specific found. The protest coverage that turned up (Decrypt, Mar 2026) predates the incident.</t>
  </si>
  <si>
    <t xml:space="preserve">Center for AI Safety</t>
  </si>
  <si>
    <t xml:space="preserve">AISN issues 78-80 are already held. No separate CAIS statement found. Later AISN issues could not be checked because the search budget ran out.</t>
  </si>
  <si>
    <t xml:space="preserve">Future of Life Institute</t>
  </si>
  <si>
    <t xml:space="preserve">Nothing found. A 14 Oct open letter on AI and cybersecurity (406 signatories) was reported by YourStory, but its organiser and URL were not identified.</t>
  </si>
  <si>
    <t xml:space="preserve">The Midas Project</t>
  </si>
  <si>
    <t xml:space="preserve">Nothing found. Preparedness Framework rewrite coverage (Axios, already held) was the only result.</t>
  </si>
  <si>
    <t xml:space="preserve">Secure AI Project</t>
  </si>
  <si>
    <t xml:space="preserve">Anthropic</t>
  </si>
  <si>
    <t xml:space="preserve">https://www.anthropic.com/news/investigating-incidents-cybersecurity-evals</t>
  </si>
  <si>
    <t xml:space="preserve">Nothing beyond what is already held. The CAIF post cites an Anthropic August 2026 Risk Report PDF that was not opened.</t>
  </si>
  <si>
    <t xml:space="preserve">Google DeepMind</t>
  </si>
  <si>
    <t xml:space="preserve">No statement found.</t>
  </si>
  <si>
    <t xml:space="preserve">Meta</t>
  </si>
  <si>
    <t xml:space="preserve">No statement about the HF incident. Search snippets point to a separate Meta containment incident, which was not opened.</t>
  </si>
  <si>
    <t xml:space="preserve">xAI</t>
  </si>
  <si>
    <t xml:space="preserve">Microsoft</t>
  </si>
  <si>
    <t xml:space="preserve">Mistral</t>
  </si>
  <si>
    <t xml:space="preserve">Hugging Face</t>
  </si>
  <si>
    <t xml:space="preserve">https://www.csis.org/events/ai-agent-containment-failures-technical-realities-and-policy-responses</t>
  </si>
  <si>
    <t xml:space="preserve">No new HF blog posts found. HF's Ian Reynolds gave a technical briefing at the 24 Aug CSIS/LawAI event.</t>
  </si>
  <si>
    <t xml:space="preserve">OpenAI</t>
  </si>
  <si>
    <t xml:space="preserve">https://deploymentsafety.openai.com/gpt-6-astra</t>
  </si>
  <si>
    <t xml:space="preserve">New: the GPT-6 Astra system card (3 Sep), which covers post-incident containment and Preparedness changes. The misalignment-reporting framework and Preparedness update are already held. The 5 Sep wiki statement could not be searched because the budget ran out.</t>
  </si>
  <si>
    <t xml:space="preserve">Frontier Model Forum</t>
  </si>
  <si>
    <t xml:space="preserve">Partnership on AI</t>
  </si>
  <si>
    <t xml:space="preserve">MLCommons</t>
  </si>
  <si>
    <t xml:space="preserve">UK AISI</t>
  </si>
  <si>
    <t xml:space="preserve">https://www.aisi.gov.uk/blog/building-a-more-secure-environment-for-evaluating-dangerous-capabilities</t>
  </si>
  <si>
    <t xml:space="preserve">New 1 Oct post on evaluation-environment changes that cites the HF incident. The incident report is already held.</t>
  </si>
  <si>
    <t xml:space="preserve">US CAISI</t>
  </si>
  <si>
    <t xml:space="preserve">No CAISI statement found. The NIST incident-readiness news item is already held.</t>
  </si>
  <si>
    <t xml:space="preserve">EU AI Office</t>
  </si>
  <si>
    <t xml:space="preserve">Only secondary reporting found (Commission information requests, wiki report). Primary items already held.</t>
  </si>
  <si>
    <t xml:space="preserve">Japan AISI</t>
  </si>
  <si>
    <t xml:space="preserve">Korea AISI</t>
  </si>
  <si>
    <t xml:space="preserve">The Korean-language search found only press coverage and a 2024 SPRi report on AISIs.</t>
  </si>
  <si>
    <t xml:space="preserve">Canada AISI</t>
  </si>
  <si>
    <t xml:space="preserve">Nothing found. The Canadian Cyber Centre advisory is already held.</t>
  </si>
  <si>
    <t xml:space="preserve">Singapore</t>
  </si>
  <si>
    <t xml:space="preserve">https://www.imda.gov.sg/assets/d67062a6-6347-4995-ad49-910072e154b0.pdf</t>
  </si>
  <si>
    <t xml:space="preserve">IMDA advisory to the ICM sector.</t>
  </si>
  <si>
    <t xml:space="preserve">France INESIA</t>
  </si>
  <si>
    <t xml:space="preserve">International Network of AISIs</t>
  </si>
  <si>
    <t xml:space="preserve">International AI Safety Report</t>
  </si>
  <si>
    <t xml:space="preserve">One search returned only AP timeline syndications. A second search for a key update was blocked by the budget, so this is unverified.</t>
  </si>
  <si>
    <t xml:space="preserve">Luiza Jarovsky</t>
  </si>
  <si>
    <t xml:space="preserve">Luiza's Newsletter</t>
  </si>
  <si>
    <t xml:space="preserve">https://www.luizasnewsletter.com/p/governing-agentic-swarms
https://www.luizasnewsletter.com/p/ai-agents-and-the-risk-of-losing
https://www.luizasnewsletter.com/p/ai-governance-could-spiral-out-of
https://www.luizasnewsletter.com/p/taming-the-beast</t>
  </si>
  <si>
    <t xml:space="preserve">Zvi Mowshowitz</t>
  </si>
  <si>
    <t xml:space="preserve">Don't Worry About the Vase</t>
  </si>
  <si>
    <t xml:space="preserve">https://thezvi.substack.com/p/huggingface-attack-postmortem-fleshing
https://thezvi.substack.com/p/huggingface-attack-postmortem-civilizations
https://thezvi.substack.com/p/further-developments-about-internal
https://thezvi.substack.com/p/ai-183-pre-post-mortem
https://thezvi.substack.com/p/openai-fires-three-safety-researchers
(plus 6 already held)</t>
  </si>
  <si>
    <t xml:space="preserve">Shakeel Hashim and team</t>
  </si>
  <si>
    <t xml:space="preserve">Transformer</t>
  </si>
  <si>
    <t xml:space="preserve">(all hits already held; no new posts found)</t>
  </si>
  <si>
    <t xml:space="preserve">Jack Clark</t>
  </si>
  <si>
    <t xml:space="preserve">Import AI</t>
  </si>
  <si>
    <t xml:space="preserve">(Import AI 466 and 471 already held; 475 passing mention only)</t>
  </si>
  <si>
    <t xml:space="preserve">Dan Hendrycks / CAIS</t>
  </si>
  <si>
    <t xml:space="preserve">AI Safety Newsletter</t>
  </si>
  <si>
    <t xml:space="preserve">(AISN 78-80 already held; no new issues surfaced)</t>
  </si>
  <si>
    <t xml:space="preserve">Helen Toner</t>
  </si>
  <si>
    <t xml:space="preserve">Rising Tide</t>
  </si>
  <si>
    <t xml:space="preserve">(no Rising Tide post found; Fortune interview and CSIS podcast already held)</t>
  </si>
  <si>
    <t xml:space="preserve">Miles Brundage</t>
  </si>
  <si>
    <t xml:space="preserve">Substack / X</t>
  </si>
  <si>
    <t xml:space="preserve">Dean W. Ball</t>
  </si>
  <si>
    <t xml:space="preserve">Hyperdimensional</t>
  </si>
  <si>
    <t xml:space="preserve">https://www.hyperdimensional.co/p/on-the-loose
https://www.persuasion.community/p/swarms-of-ai-committing-crime-for</t>
  </si>
  <si>
    <t xml:space="preserve">Gary Marcus</t>
  </si>
  <si>
    <t xml:space="preserve">Marcus on AI</t>
  </si>
  <si>
    <t xml:space="preserve">https://garymarcus.substack.com/p/openais-disconcerting-hack-of-huggingface
https://garymarcus.substack.com/p/5-lessons-from-the-openai-hugging/comments
https://garymarcus.substack.com/p/pause-openai-now
https://garymarcus.substack.com/p/breaking-openais-security-fiasco
https://garymarcus.substack.com/p/openais-egregious-pattern-of-misconduct</t>
  </si>
  <si>
    <t xml:space="preserve">Ethan Mollick</t>
  </si>
  <si>
    <t xml:space="preserve">One Useful Thing</t>
  </si>
  <si>
    <t xml:space="preserve">https://www.oneusefulthing.org/p/agency-and-agents</t>
  </si>
  <si>
    <t xml:space="preserve">Casey Newton</t>
  </si>
  <si>
    <t xml:space="preserve">Platformer</t>
  </si>
  <si>
    <t xml:space="preserve">(METR-report post already held)
https://www.platformer.news/openai-agent-sandbox-escape-killswitch-bill/ (paywalled, not included)</t>
  </si>
  <si>
    <t xml:space="preserve">Garrison Lovely</t>
  </si>
  <si>
    <t xml:space="preserve">Obsolete</t>
  </si>
  <si>
    <t xml:space="preserve">Peter Wildeford</t>
  </si>
  <si>
    <t xml:space="preserve">The Power Law</t>
  </si>
  <si>
    <t xml:space="preserve">https://blog.peterwildeford.com/p/rogue-ai-attacks-deserve-more-scrutiny</t>
  </si>
  <si>
    <t xml:space="preserve">Anton Leicht</t>
  </si>
  <si>
    <t xml:space="preserve">Threading the Needle</t>
  </si>
  <si>
    <t xml:space="preserve">https://writing.antonleicht.me/p/locked-down
https://writing.antonleicht.me/p/send-them-in</t>
  </si>
  <si>
    <t xml:space="preserve">Kevin Frazier</t>
  </si>
  <si>
    <t xml:space="preserve">Lawfare / Substack</t>
  </si>
  <si>
    <t xml:space="preserve">Ajeya Cotra and Kelsey Piper</t>
  </si>
  <si>
    <t xml:space="preserve">Planned Obsolescence</t>
  </si>
  <si>
    <t xml:space="preserve">(Cotra post already held; nothing found for Kelsey Piper)</t>
  </si>
  <si>
    <t xml:space="preserve">Simon Willison</t>
  </si>
  <si>
    <t xml:space="preserve">simonwillison.net</t>
  </si>
  <si>
    <t xml:space="preserve">https://simonwillison.net/2026/Jul/22/openai-cyberattack/</t>
  </si>
  <si>
    <t xml:space="preserve">Nathan Lambert</t>
  </si>
  <si>
    <t xml:space="preserve">Interconnects</t>
  </si>
  <si>
    <t xml:space="preserve">https://www.interconnects.ai/p/lessons-from-the-hacks</t>
  </si>
  <si>
    <t xml:space="preserve">Timothy B. Lee</t>
  </si>
  <si>
    <t xml:space="preserve">Understanding AI</t>
  </si>
  <si>
    <t xml:space="preserve">https://www.understandingai.org/p/why-agent-swarms-could-be-the-next (by staff writer Dan Kagan-Kans)</t>
  </si>
  <si>
    <t xml:space="preserve">Daniel Kokotajlo</t>
  </si>
  <si>
    <t xml:space="preserve">AI Futures Project blog</t>
  </si>
  <si>
    <t xml:space="preserve">https://blog.aifutures.org/p/senate-testimony-sept-2026</t>
  </si>
  <si>
    <t xml:space="preserve">Scott Alexander</t>
  </si>
  <si>
    <t xml:space="preserve">Astral Codex Ten</t>
  </si>
  <si>
    <t xml:space="preserve">https://www.astralcodexten.com/p/the-hugging-face-incident
https://www.astralcodexten.com/p/highlights-from-the-discourse-on</t>
  </si>
  <si>
    <t xml:space="preserve">Rob Wiblin</t>
  </si>
  <si>
    <t xml:space="preserve">https://80000hours.org/podcast/episodes/ai-takeover-soon-oversight-monitorability/
https://80000hours.org/podcast/episodes/hugging-face-hack/
https://80000hours.org/hugging-face/</t>
  </si>
  <si>
    <t xml:space="preserve">Steven Adler</t>
  </si>
  <si>
    <t xml:space="preserve">Clear-Eyed AI</t>
  </si>
  <si>
    <t xml:space="preserve">https://www.clear-eyed.ai/p/openais-rogue-hacking-investigation</t>
  </si>
  <si>
    <t xml:space="preserve">Andy Masley</t>
  </si>
  <si>
    <t xml:space="preserve">Julia Angwin</t>
  </si>
  <si>
    <t xml:space="preserve">Rumman Chowdhury</t>
  </si>
  <si>
    <t xml:space="preserve">Heidy Khlaaf</t>
  </si>
  <si>
    <t xml:space="preserve">Nature (comment, reported)</t>
  </si>
  <si>
    <t xml:space="preserve">(Nature piece reported by aggregator but could not be opened)</t>
  </si>
  <si>
    <t xml:space="preserve">Meredith Whittaker</t>
  </si>
  <si>
    <t xml:space="preserve">Bloomberg TV interview</t>
  </si>
  <si>
    <t xml:space="preserve">(Bloomberg video 2026-07-24 found but robots-blocked)</t>
  </si>
  <si>
    <t xml:space="preserve">Margaret Mitchell</t>
  </si>
  <si>
    <t xml:space="preserve">m-mitchell.com</t>
  </si>
  <si>
    <t xml:space="preserve">http://m-mitchell.com/HF-hack-cartoon/</t>
  </si>
  <si>
    <t xml:space="preserve">Bruce Schneier</t>
  </si>
  <si>
    <t xml:space="preserve">Schneier on Security</t>
  </si>
  <si>
    <t xml:space="preserve">https://www.schneier.com/blog/archives/2026/08/more-on-the-openai-agents-attack-on-hugging-face.html
https://www.schneier.com/blog/archives/2026/07/measuring-the-tendency-of-ai-agents-to-go-rogue.html</t>
  </si>
  <si>
    <t xml:space="preserve">Kevin Beaumont</t>
  </si>
  <si>
    <t xml:space="preserve">DoublePulsar</t>
  </si>
  <si>
    <t xml:space="preserve">Risky Business</t>
  </si>
  <si>
    <t xml:space="preserve">Risky Business podcast</t>
  </si>
  <si>
    <t xml:space="preserve">https://risky.biz/RB845/
(RB848 video already held)</t>
  </si>
  <si>
    <t xml:space="preserve">Tech Policy Press</t>
  </si>
  <si>
    <t xml:space="preserve">(all substantive pieces already held)</t>
  </si>
  <si>
    <t xml:space="preserve">Lawfare podcast</t>
  </si>
  <si>
    <t xml:space="preserve">Lawfare</t>
  </si>
  <si>
    <t xml:space="preserve">(all hits already held)</t>
  </si>
  <si>
    <t xml:space="preserve">Other: Joshua Gans</t>
  </si>
  <si>
    <t xml:space="preserve">Mess and Magic</t>
  </si>
  <si>
    <t xml:space="preserve">https://joshuagans.substack.com/p/its-worse</t>
  </si>
  <si>
    <t xml:space="preserve">Other: Olle Häggström</t>
  </si>
  <si>
    <t xml:space="preserve">Substack</t>
  </si>
  <si>
    <t xml:space="preserve">https://haggstrom.substack.com/p/can-we-please-treat-this-as-the-warning</t>
  </si>
  <si>
    <t xml:space="preserve">Other: Eryk Salvaggio</t>
  </si>
  <si>
    <t xml:space="preserve">Bulletin of the Atomic Scientists</t>
  </si>
  <si>
    <t xml:space="preserve">https://thebulletin.org/2026/09/rogue-ai-didnt-breach-hugging-face-human-decisions-did/</t>
  </si>
  <si>
    <t xml:space="preserve">Other: Rupert Goodwins</t>
  </si>
  <si>
    <t xml:space="preserve">The Register (column)</t>
  </si>
  <si>
    <t xml:space="preserve">https://www.theregister.com/columnists/2026/09/07/openais-rebel-agent-swarm-died-young-but-its-chilling-logs-live-on/5294446</t>
  </si>
  <si>
    <t xml:space="preserve">GovAI (Centre for the Governance of AI)</t>
  </si>
  <si>
    <t xml:space="preserve">Nothing found in two searches (one site-restricted). Only law-firm and aggregator pieces came up.</t>
  </si>
  <si>
    <t xml:space="preserve">CLTR (Centre for Long-Term Resilience) incl. Loss of Control Observatory</t>
  </si>
  <si>
    <t xml:space="preserve">https://www.longtermresilience.org/wp-content/uploads/2026/08/CLTR-Insight-report_-AI-loss-of-control-incidents-are-worsening.pdf</t>
  </si>
  <si>
    <t xml:space="preserve">The Observatory insight report (28 Aug) does not name the HF incident; it only refers generically to OpenAI/Anthropic disclosures. Recorded as background. Found via a link from computing.co.uk.</t>
  </si>
  <si>
    <t xml:space="preserve">IAPS (Institute for AI Policy and Strategy)</t>
  </si>
  <si>
    <t xml:space="preserve">https://www.iaps.ai/research/the-openaihugging-face-incident-challenges-in-controlling-and-containing-cyber-capable-ai-systems</t>
  </si>
  <si>
    <t xml:space="preserve">Already held. Policy memo of 27 Jul, read in full. No second IAPS piece on the incident; the page links only to related earlier IAPS research.</t>
  </si>
  <si>
    <t xml:space="preserve">LawAI (Institute for Law &amp; AI)</t>
  </si>
  <si>
    <t xml:space="preserve">https://law-ai.org/lawai-partners-with-csis/
https://www.csis.org/events/ai-agent-containment-failures-technical-realities-and-policy-responses</t>
  </si>
  <si>
    <t xml:space="preserve">Blog post on the co-hosted CSIS event (Arnold calls for mandatory reporting with investigative power). Guardian op-ed by Arnold and Llerena (8 Sep) found but blocked; see findings.</t>
  </si>
  <si>
    <t xml:space="preserve">SaferAI</t>
  </si>
  <si>
    <t xml:space="preserve">Nothing found in two searches.</t>
  </si>
  <si>
    <t xml:space="preserve">AI Policy Institute</t>
  </si>
  <si>
    <t xml:space="preserve">Nothing found. Only older AIPI polls came up.</t>
  </si>
  <si>
    <t xml:space="preserve">Americans for Responsible Innovation</t>
  </si>
  <si>
    <t xml:space="preserve">https://ari.us/ai-policy-leaders-urge-trump-administration-to-investigate-openai-security-incident/</t>
  </si>
  <si>
    <t xml:space="preserve">Organised the 30 Jul coalition letter to President Trump asking for an independent investigation. Letter PDF opened in full.</t>
  </si>
  <si>
    <t xml:space="preserve">Encode</t>
  </si>
  <si>
    <t xml:space="preserve">Nothing found. Not among the signatories of the ARI letter.</t>
  </si>
  <si>
    <t xml:space="preserve">FLI (Future of Life Institute) incl. AI Safety Index</t>
  </si>
  <si>
    <t xml:space="preserve">https://newsletter.futureoflife.org/p/fli-newsletter-july-2026</t>
  </si>
  <si>
    <t xml:space="preserve">Lead item in the July newsletter (1 Aug), plus Aguirre's Control Inversion video. Hamza Chaudhry signed the ARI letter. The Summer 2026 AI Safety Index predates the incident (evidence cutoff 3 Jun).</t>
  </si>
  <si>
    <t xml:space="preserve">CAIS (Center for AI Safety)</t>
  </si>
  <si>
    <t xml:space="preserve">AISN #78/#79/#80 already held. No separate CAIS report found.</t>
  </si>
  <si>
    <t xml:space="preserve">Oxford AI Governance Initiative / Oxford Martin</t>
  </si>
  <si>
    <t xml:space="preserve">Nothing found, including a site-restricted search.</t>
  </si>
  <si>
    <t xml:space="preserve">Cambridge CSER and Leverhulme CFI</t>
  </si>
  <si>
    <t xml:space="preserve">Stanford HAI</t>
  </si>
  <si>
    <t xml:space="preserve">Nothing from HAI. Graham Webster (Stanford Program on Geopolitics, Technology and Governance / DigiChina) spoke on the Tech Policy Press podcast.</t>
  </si>
  <si>
    <t xml:space="preserve">Berkeley CLTC and CHAI</t>
  </si>
  <si>
    <t xml:space="preserve">https://pbs.org/newshour/science/ai-agents-are-hacking-systems-without-any-input-from-humans-how-did-we-get-here</t>
  </si>
  <si>
    <t xml:space="preserve">No institutional publication. Stuart Russell (CHAI) is quoted in a PolitiFact/PBS explainer. Nothing from CLTC.</t>
  </si>
  <si>
    <t xml:space="preserve">MIT FutureTech</t>
  </si>
  <si>
    <t xml:space="preserve">Nothing found. The MIT AI Incident Tracker is already held (airisk.mit.edu).</t>
  </si>
  <si>
    <t xml:space="preserve">Mila policy</t>
  </si>
  <si>
    <t xml:space="preserve">CIGI</t>
  </si>
  <si>
    <t xml:space="preserve">Ada Lovelace Institute</t>
  </si>
  <si>
    <t xml:space="preserve">AI Now Institute</t>
  </si>
  <si>
    <t xml:space="preserve">Already held (press page). The underlying item is a PBS Amanpour interview with Heidy Khlaaf (3 Sep) arguing the 'rogue' framing is the wrong story. Only a teaser is readable.</t>
  </si>
  <si>
    <t xml:space="preserve">CDT (Center for Democracy &amp; Technology)</t>
  </si>
  <si>
    <t xml:space="preserve">Data &amp; Society</t>
  </si>
  <si>
    <t xml:space="preserve">Nothing on the incident. The only hit is an FMF response to a CAISI RFI on agentic security (March 2026), which predates the incident and was not opened.</t>
  </si>
  <si>
    <t xml:space="preserve">RAND (incl. Meselson Center, RAND Europe)</t>
  </si>
  <si>
    <t xml:space="preserve">Nothing found in four searches, including a site-restricted one. RRA2849-1 is already held but was not seen in these searches.</t>
  </si>
  <si>
    <t xml:space="preserve">CSET (Georgetown)</t>
  </si>
  <si>
    <t xml:space="preserve">https://poderato.com/shows/the-ezra-klein-show/the-a-i-s-are-already-out-of-control</t>
  </si>
  <si>
    <t xml:space="preserve">Toner's Fortune op-ed is already held (CSET mirror). New: Toner on The Ezra Klein Show (18 Aug). Toner was also on the CSIS 24 Aug panel. Her ABC 7.30 interview concerns the AISI incidents.</t>
  </si>
  <si>
    <t xml:space="preserve">Brookings</t>
  </si>
  <si>
    <t xml:space="preserve">Nothing found in four searches. Elham Tabassi (Brookings) co-wrote a CFR piece on regulator design that does not mention the incident.</t>
  </si>
  <si>
    <t xml:space="preserve">Carnegie Endowment</t>
  </si>
  <si>
    <t xml:space="preserve">Sheehan's 'AI Safety in Parallel' (23 Jul) only hyperlinks OpenAI's incident post. Excluded for low relevance.</t>
  </si>
  <si>
    <t xml:space="preserve">Atlantic Council</t>
  </si>
  <si>
    <t xml:space="preserve">CSIS</t>
  </si>
  <si>
    <t xml:space="preserve">https://www.csis.org/events/ai-agent-containment-failures-technical-realities-and-policy-responses
https://www.csis.org/analysis/ai-industry-coalescing-pacing-frontier-will-it-actually-change-anything
https://www.csis.org/podcasts/ai-policy-podcast/openai-models-hack-hugging-face-kimi-k3s-deepseek-moment-and-new-yorks
https://www.csis.org/podcasts/ai-policy-podcast/metr-investigates-openai-hugging-face-incident-and-california</t>
  </si>
  <si>
    <t xml:space="preserve">Beyond Mehta's 'Out of Bounds': the 24 Aug event with a Hugging Face technical presentation (recording), Mehta's 17 Sep commentary, and two podcast episodes. Episodes on 17 Sep and 1 Oct cover the wiki and Medicare incidents (separate).</t>
  </si>
  <si>
    <t xml:space="preserve">CNAS</t>
  </si>
  <si>
    <t xml:space="preserve">https://podimo.com/mx/shows/stop-the-world-2/episode/b9b74570-6922-5c44-a6bf-82f165e33bf0</t>
  </si>
  <si>
    <t xml:space="preserve">Scanlon/Egan insight already held. New: Janet Egan interview opening with the HF incident on the Stop the World podcast (30 Jul, probably ASPI's show; host not confirmed on page).</t>
  </si>
  <si>
    <t xml:space="preserve">Hoover</t>
  </si>
  <si>
    <t xml:space="preserve">One combined search only; budget exhausted before a dedicated search.</t>
  </si>
  <si>
    <t xml:space="preserve">AEI</t>
  </si>
  <si>
    <t xml:space="preserve">One combined search only; dedicated search not run (budget exhausted).</t>
  </si>
  <si>
    <t xml:space="preserve">Heritage</t>
  </si>
  <si>
    <t xml:space="preserve">R Street</t>
  </si>
  <si>
    <t xml:space="preserve">Niskanen</t>
  </si>
  <si>
    <t xml:space="preserve">Two combined searches, nothing found.</t>
  </si>
  <si>
    <t xml:space="preserve">IFP (Institute for Progress)</t>
  </si>
  <si>
    <t xml:space="preserve">SCSP</t>
  </si>
  <si>
    <t xml:space="preserve">FAI (Foundation for American Innovation)</t>
  </si>
  <si>
    <t xml:space="preserve">Nothing from FAI as an institution. Samuel Hammond signed the ARI letter but is listed without an affiliation.</t>
  </si>
  <si>
    <t xml:space="preserve">Chatham House</t>
  </si>
  <si>
    <t xml:space="preserve">Nothing on the incident. The Mythos piece already held is about a separate topic.</t>
  </si>
  <si>
    <t xml:space="preserve">RUSI</t>
  </si>
  <si>
    <t xml:space="preserve">IISS</t>
  </si>
  <si>
    <t xml:space="preserve">Tony Blair Institute</t>
  </si>
  <si>
    <t xml:space="preserve">Demos</t>
  </si>
  <si>
    <t xml:space="preserve">Nothing found (combined search).</t>
  </si>
  <si>
    <t xml:space="preserve">Bruegel</t>
  </si>
  <si>
    <t xml:space="preserve">CEPS</t>
  </si>
  <si>
    <t xml:space="preserve">Nothing found. The cep.eu piece already held is from CEP (Centrum für Europäische Politik), not CEPS.</t>
  </si>
  <si>
    <t xml:space="preserve">interface (formerly SNV)</t>
  </si>
  <si>
    <t xml:space="preserve">Jacques Delors Centre</t>
  </si>
  <si>
    <t xml:space="preserve">Institut Montaigne</t>
  </si>
  <si>
    <t xml:space="preserve">ECFR</t>
  </si>
  <si>
    <t xml:space="preserve">Lowy Institute</t>
  </si>
  <si>
    <t xml:space="preserve">Nothing found, including on the Medicare incident.</t>
  </si>
  <si>
    <t xml:space="preserve">ASPI</t>
  </si>
  <si>
    <t xml:space="preserve">No Strategist piece found. The Egan interview on Stop the World may be ASPI's podcast; not confirmed.</t>
  </si>
  <si>
    <t xml:space="preserve">Institute for Security and Technology (IST), not on checklist</t>
  </si>
  <si>
    <t xml:space="preserve">https://securityandtechnology.org/blog/what-we-knew-would-happen-is-happening/</t>
  </si>
  <si>
    <t xml:space="preserve">Substantive analysis (6 Aug) mapping HF, Anthropic and AISI incidents to IST's Loss of Control Risk Schema.</t>
  </si>
  <si>
    <t xml:space="preserve">Council on Foreign Relations, not on checklist</t>
  </si>
  <si>
    <t xml:space="preserve">https://techpolicy.press/how-the-openai-hugging-face-hack-may-affect-the-geopolitics-of-ai-governance</t>
  </si>
  <si>
    <t xml:space="preserve">CFR senior fellow Vinh Nguyen discusses the incident on the Tech Policy Press podcast. CFR's own articles do not mention it.</t>
  </si>
  <si>
    <t xml:space="preserve">Future Center for Advanced Research and Studies (Abu Dhabi), not on checklist</t>
  </si>
  <si>
    <t xml:space="preserve">https://www.futureuae.com/en-us/Mainpage/Report/11195</t>
  </si>
  <si>
    <t xml:space="preserve">Arabic/English analysis 'Escape Attempts' by Ehab Khalifa. The publisher is not named on the page itself.</t>
  </si>
  <si>
    <t xml:space="preserve">Follow-ups</t>
  </si>
  <si>
    <t xml:space="preserve">Sources that could not be opened and checks cut short by the search limit. Status column is for you to fill in.</t>
  </si>
  <si>
    <t xml:space="preserve">Item</t>
  </si>
  <si>
    <t xml:space="preserve">Why it matters</t>
  </si>
  <si>
    <t xml:space="preserve">Kind</t>
  </si>
  <si>
    <t xml:space="preserve">Status</t>
  </si>
  <si>
    <t xml:space="preserve">LawAI op-ed by Mackenzie Arnold and Stephan Llerena, Guardian, 8 Sep 2026</t>
  </si>
  <si>
    <t xml:space="preserve">Likely essential for the legal section: criticises the narrow METR/Redwood review and proposes an NTSB-style investigator</t>
  </si>
  <si>
    <t xml:space="preserve">Could not open (blocked)</t>
  </si>
  <si>
    <t xml:space="preserve">Heidy Khlaaf comment in Nature</t>
  </si>
  <si>
    <t xml:space="preserve">Expert safety-engineering view on the incident</t>
  </si>
  <si>
    <t xml:space="preserve">Could not open (fetch failed)</t>
  </si>
  <si>
    <t xml:space="preserve">One Luiza Jarovsky post</t>
  </si>
  <si>
    <t xml:space="preserve">Fourth expert newsletter post; page would not load</t>
  </si>
  <si>
    <t xml:space="preserve">Could not open</t>
  </si>
  <si>
    <t xml:space="preserve">Casey Newton's Platformer post on a kill switch</t>
  </si>
  <si>
    <t xml:space="preserve">Paywalled; one other Platformer post is already in</t>
  </si>
  <si>
    <t xml:space="preserve">Paywalled</t>
  </si>
  <si>
    <t xml:space="preserve">Second Peter Wildeford post</t>
  </si>
  <si>
    <t xml:space="preserve">Page would not load</t>
  </si>
  <si>
    <t xml:space="preserve">AEI, Hoover, Heritage, R Street, Niskanen, FAI</t>
  </si>
  <si>
    <t xml:space="preserve">Each checked with one combined search only; "not found" is provisional</t>
  </si>
  <si>
    <t xml:space="preserve">Check cut short</t>
  </si>
  <si>
    <t xml:space="preserve">CAIS AI Safety Newsletter issues 81 onwards</t>
  </si>
  <si>
    <t xml:space="preserve">Later issues may cover the METR report</t>
  </si>
  <si>
    <t xml:space="preserve">International AI Safety Report key update</t>
  </si>
  <si>
    <t xml:space="preserve">Most authoritative synthesis, if one exists</t>
  </si>
  <si>
    <t xml:space="preserve">Helen Toner and Kevin Frazier newsletters</t>
  </si>
  <si>
    <t xml:space="preserve">Second searches were refused by the search limit</t>
  </si>
  <si>
    <t xml:space="preserve">BlueDot lesson text (FAIG Unit 1.3, AGI Strategy Unit 1.4)</t>
  </si>
  <si>
    <t xml:space="preserve">Only reading lists were visible; lesson text needs a login</t>
  </si>
  <si>
    <t xml:space="preserve">Needs your login</t>
  </si>
  <si>
    <t xml:space="preserve">Yellow cells are for you to fill in, e.g. "Done", "PDF sent" or "Skip".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</si>
</sst>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D45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D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65</v>
      </c>
      <c r="C5" s="4" t="n">
        <f aca="false">D5-B5</f>
        <v>39</v>
      </c>
      <c r="D5" s="5" t="n">
        <v>104</v>
      </c>
    </row>
    <row r="6" customFormat="false" ht="15" hidden="false" customHeight="false" outlineLevel="0" collapsed="false">
      <c r="A6" s="4" t="s">
        <v>7</v>
      </c>
      <c r="B6" s="5" t="n">
        <v>9</v>
      </c>
      <c r="C6" s="4" t="n">
        <f aca="false">D6-B6</f>
        <v>6</v>
      </c>
      <c r="D6" s="5" t="n">
        <v>15</v>
      </c>
    </row>
    <row r="7" customFormat="false" ht="15" hidden="false" customHeight="false" outlineLevel="0" collapsed="false">
      <c r="A7" s="4" t="s">
        <v>8</v>
      </c>
      <c r="B7" s="5" t="n">
        <v>6</v>
      </c>
      <c r="C7" s="4" t="n">
        <f aca="false">D7-B7</f>
        <v>9</v>
      </c>
      <c r="D7" s="5" t="n">
        <v>15</v>
      </c>
    </row>
    <row r="8" customFormat="false" ht="15" hidden="false" customHeight="false" outlineLevel="0" collapsed="false">
      <c r="A8" s="4" t="s">
        <v>9</v>
      </c>
      <c r="B8" s="5" t="n">
        <v>87</v>
      </c>
      <c r="C8" s="4" t="n">
        <f aca="false">D8-B8</f>
        <v>3</v>
      </c>
      <c r="D8" s="5" t="n">
        <v>90</v>
      </c>
    </row>
    <row r="9" customFormat="false" ht="15" hidden="false" customHeight="false" outlineLevel="0" collapsed="false">
      <c r="A9" s="4" t="s">
        <v>10</v>
      </c>
      <c r="B9" s="5" t="n">
        <v>54</v>
      </c>
      <c r="C9" s="4" t="n">
        <f aca="false">D9-B9</f>
        <v>3</v>
      </c>
      <c r="D9" s="5" t="n">
        <v>57</v>
      </c>
    </row>
    <row r="10" customFormat="false" ht="15" hidden="false" customHeight="false" outlineLevel="0" collapsed="false">
      <c r="A10" s="4" t="s">
        <v>11</v>
      </c>
      <c r="B10" s="5" t="n">
        <v>39</v>
      </c>
      <c r="C10" s="4" t="n">
        <f aca="false">D10-B10</f>
        <v>4</v>
      </c>
      <c r="D10" s="5" t="n">
        <v>43</v>
      </c>
    </row>
    <row r="11" customFormat="false" ht="15" hidden="false" customHeight="false" outlineLevel="0" collapsed="false">
      <c r="A11" s="4" t="s">
        <v>12</v>
      </c>
      <c r="B11" s="5" t="n">
        <v>25</v>
      </c>
      <c r="C11" s="4" t="n">
        <f aca="false">D11-B11</f>
        <v>1</v>
      </c>
      <c r="D11" s="5" t="n">
        <v>26</v>
      </c>
    </row>
    <row r="12" customFormat="false" ht="15" hidden="false" customHeight="false" outlineLevel="0" collapsed="false">
      <c r="A12" s="4" t="s">
        <v>13</v>
      </c>
      <c r="B12" s="5" t="n">
        <v>11</v>
      </c>
      <c r="C12" s="4" t="n">
        <f aca="false">D12-B12</f>
        <v>0</v>
      </c>
      <c r="D12" s="5" t="n">
        <v>11</v>
      </c>
    </row>
    <row r="13" customFormat="false" ht="15" hidden="false" customHeight="false" outlineLevel="0" collapsed="false">
      <c r="A13" s="6" t="s">
        <v>14</v>
      </c>
      <c r="B13" s="6" t="n">
        <f aca="false">SUM(B5:B12)</f>
        <v>296</v>
      </c>
      <c r="C13" s="6" t="n">
        <f aca="false">SUM(C5:C12)</f>
        <v>65</v>
      </c>
      <c r="D13" s="6" t="n">
        <f aca="false">SUM(D5:D12)</f>
        <v>361</v>
      </c>
    </row>
    <row r="15" customFormat="false" ht="15" hidden="false" customHeight="false" outlineLevel="0" collapsed="false">
      <c r="A15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</row>
    <row r="5" customFormat="false" ht="15" hidden="false" customHeight="false" outlineLevel="0" collapsed="false">
      <c r="A5" s="4" t="s">
        <v>22</v>
      </c>
      <c r="B5" s="7" t="n">
        <f aca="false">COUNTIF(Coverage!$A$5:$A$145,A5)</f>
        <v>48</v>
      </c>
      <c r="C5" s="7" t="n">
        <f aca="false">COUNTIFS(Coverage!$A$5:$A$145,A5,Coverage!$D$5:$D$145,"Yes")</f>
        <v>15</v>
      </c>
      <c r="D5" s="8" t="n">
        <f aca="false">IF(B5=0,0,C5/B5)</f>
        <v>0.3125</v>
      </c>
    </row>
    <row r="6" customFormat="false" ht="15" hidden="false" customHeight="false" outlineLevel="0" collapsed="false">
      <c r="A6" s="4" t="s">
        <v>23</v>
      </c>
      <c r="B6" s="7" t="n">
        <f aca="false">COUNTIF(Coverage!$A$5:$A$145,A6)</f>
        <v>38</v>
      </c>
      <c r="C6" s="7" t="n">
        <f aca="false">COUNTIFS(Coverage!$A$5:$A$145,A6,Coverage!$D$5:$D$145,"Yes")</f>
        <v>28</v>
      </c>
      <c r="D6" s="8" t="n">
        <f aca="false">IF(B6=0,0,C6/B6)</f>
        <v>0.736842105263158</v>
      </c>
    </row>
    <row r="7" customFormat="false" ht="15" hidden="false" customHeight="false" outlineLevel="0" collapsed="false">
      <c r="A7" s="4" t="s">
        <v>24</v>
      </c>
      <c r="B7" s="7" t="n">
        <f aca="false">COUNTIF(Coverage!$A$5:$A$145,A7)</f>
        <v>55</v>
      </c>
      <c r="C7" s="7" t="n">
        <f aca="false">COUNTIFS(Coverage!$A$5:$A$145,A7,Coverage!$D$5:$D$145,"Yes")</f>
        <v>14</v>
      </c>
      <c r="D7" s="8" t="n">
        <f aca="false">IF(B7=0,0,C7/B7)</f>
        <v>0.254545454545455</v>
      </c>
    </row>
    <row r="8" customFormat="false" ht="15" hidden="false" customHeight="false" outlineLevel="0" collapsed="false">
      <c r="A8" s="6" t="s">
        <v>14</v>
      </c>
      <c r="B8" s="6" t="n">
        <f aca="false">SUM(B5:B7)</f>
        <v>141</v>
      </c>
      <c r="C8" s="6" t="n">
        <f aca="false">SUM(C5:C7)</f>
        <v>57</v>
      </c>
      <c r="D8" s="9" t="n">
        <f aca="false">IF(B8=0,0,C8/B8)</f>
        <v>0.404255319148936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6" min="5" style="0" width="6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23.85" hidden="false" customHeight="false" outlineLevel="0" collapsed="false">
      <c r="A4" s="3" t="s">
        <v>18</v>
      </c>
      <c r="B4" s="3" t="s">
        <v>27</v>
      </c>
      <c r="C4" s="3" t="s">
        <v>28</v>
      </c>
      <c r="D4" s="3" t="s">
        <v>20</v>
      </c>
      <c r="E4" s="3" t="s">
        <v>29</v>
      </c>
      <c r="F4" s="3" t="s">
        <v>30</v>
      </c>
    </row>
    <row r="5" customFormat="false" ht="68.65" hidden="false" customHeight="false" outlineLevel="0" collapsed="false">
      <c r="A5" s="10" t="s">
        <v>22</v>
      </c>
      <c r="B5" s="10" t="s">
        <v>31</v>
      </c>
      <c r="C5" s="10"/>
      <c r="D5" s="11" t="s">
        <v>32</v>
      </c>
      <c r="E5" s="12" t="s">
        <v>33</v>
      </c>
      <c r="F5" s="12" t="s">
        <v>34</v>
      </c>
    </row>
    <row r="6" customFormat="false" ht="35.05" hidden="false" customHeight="false" outlineLevel="0" collapsed="false">
      <c r="A6" s="10" t="s">
        <v>22</v>
      </c>
      <c r="B6" s="10" t="s">
        <v>35</v>
      </c>
      <c r="C6" s="10"/>
      <c r="D6" s="10" t="s">
        <v>36</v>
      </c>
      <c r="E6" s="12"/>
      <c r="F6" s="12" t="s">
        <v>37</v>
      </c>
    </row>
    <row r="7" customFormat="false" ht="15" hidden="false" customHeight="false" outlineLevel="0" collapsed="false">
      <c r="A7" s="10" t="s">
        <v>22</v>
      </c>
      <c r="B7" s="10" t="s">
        <v>38</v>
      </c>
      <c r="C7" s="10"/>
      <c r="D7" s="10" t="s">
        <v>36</v>
      </c>
      <c r="E7" s="12"/>
      <c r="F7" s="12" t="s">
        <v>39</v>
      </c>
    </row>
    <row r="8" customFormat="false" ht="46.25" hidden="false" customHeight="false" outlineLevel="0" collapsed="false">
      <c r="A8" s="10" t="s">
        <v>22</v>
      </c>
      <c r="B8" s="10" t="s">
        <v>40</v>
      </c>
      <c r="C8" s="10"/>
      <c r="D8" s="11" t="s">
        <v>32</v>
      </c>
      <c r="E8" s="12" t="s">
        <v>41</v>
      </c>
      <c r="F8" s="12" t="s">
        <v>42</v>
      </c>
    </row>
    <row r="9" customFormat="false" ht="15" hidden="false" customHeight="false" outlineLevel="0" collapsed="false">
      <c r="A9" s="10" t="s">
        <v>22</v>
      </c>
      <c r="B9" s="10" t="s">
        <v>43</v>
      </c>
      <c r="C9" s="10"/>
      <c r="D9" s="10" t="s">
        <v>36</v>
      </c>
      <c r="E9" s="12"/>
      <c r="F9" s="12" t="s">
        <v>44</v>
      </c>
    </row>
    <row r="10" customFormat="false" ht="15" hidden="false" customHeight="false" outlineLevel="0" collapsed="false">
      <c r="A10" s="10" t="s">
        <v>22</v>
      </c>
      <c r="B10" s="10" t="s">
        <v>45</v>
      </c>
      <c r="C10" s="10"/>
      <c r="D10" s="10" t="s">
        <v>36</v>
      </c>
      <c r="E10" s="12"/>
      <c r="F10" s="12" t="s">
        <v>46</v>
      </c>
    </row>
    <row r="11" customFormat="false" ht="15" hidden="false" customHeight="false" outlineLevel="0" collapsed="false">
      <c r="A11" s="10" t="s">
        <v>22</v>
      </c>
      <c r="B11" s="10" t="s">
        <v>47</v>
      </c>
      <c r="C11" s="10"/>
      <c r="D11" s="10" t="s">
        <v>36</v>
      </c>
      <c r="E11" s="12"/>
      <c r="F11" s="12" t="s">
        <v>46</v>
      </c>
    </row>
    <row r="12" customFormat="false" ht="15" hidden="false" customHeight="false" outlineLevel="0" collapsed="false">
      <c r="A12" s="10" t="s">
        <v>22</v>
      </c>
      <c r="B12" s="10" t="s">
        <v>48</v>
      </c>
      <c r="C12" s="10"/>
      <c r="D12" s="10" t="s">
        <v>36</v>
      </c>
      <c r="E12" s="12"/>
      <c r="F12" s="12" t="s">
        <v>46</v>
      </c>
    </row>
    <row r="13" customFormat="false" ht="35.05" hidden="false" customHeight="false" outlineLevel="0" collapsed="false">
      <c r="A13" s="10" t="s">
        <v>22</v>
      </c>
      <c r="B13" s="10" t="s">
        <v>49</v>
      </c>
      <c r="C13" s="10"/>
      <c r="D13" s="10" t="s">
        <v>36</v>
      </c>
      <c r="E13" s="12" t="s">
        <v>50</v>
      </c>
      <c r="F13" s="12" t="s">
        <v>51</v>
      </c>
    </row>
    <row r="14" customFormat="false" ht="46.25" hidden="false" customHeight="false" outlineLevel="0" collapsed="false">
      <c r="A14" s="10" t="s">
        <v>22</v>
      </c>
      <c r="B14" s="10" t="s">
        <v>52</v>
      </c>
      <c r="C14" s="10"/>
      <c r="D14" s="11" t="s">
        <v>32</v>
      </c>
      <c r="E14" s="12" t="s">
        <v>53</v>
      </c>
      <c r="F14" s="12" t="s">
        <v>54</v>
      </c>
    </row>
    <row r="15" customFormat="false" ht="35.05" hidden="false" customHeight="false" outlineLevel="0" collapsed="false">
      <c r="A15" s="10" t="s">
        <v>22</v>
      </c>
      <c r="B15" s="10" t="s">
        <v>55</v>
      </c>
      <c r="C15" s="10"/>
      <c r="D15" s="11" t="s">
        <v>32</v>
      </c>
      <c r="E15" s="12" t="s">
        <v>56</v>
      </c>
      <c r="F15" s="12" t="s">
        <v>57</v>
      </c>
    </row>
    <row r="16" customFormat="false" ht="35.05" hidden="false" customHeight="false" outlineLevel="0" collapsed="false">
      <c r="A16" s="10" t="s">
        <v>22</v>
      </c>
      <c r="B16" s="10" t="s">
        <v>58</v>
      </c>
      <c r="C16" s="10"/>
      <c r="D16" s="11" t="s">
        <v>32</v>
      </c>
      <c r="E16" s="12" t="s">
        <v>59</v>
      </c>
      <c r="F16" s="12" t="s">
        <v>60</v>
      </c>
    </row>
    <row r="17" customFormat="false" ht="23.85" hidden="false" customHeight="false" outlineLevel="0" collapsed="false">
      <c r="A17" s="10" t="s">
        <v>22</v>
      </c>
      <c r="B17" s="10" t="s">
        <v>61</v>
      </c>
      <c r="C17" s="10"/>
      <c r="D17" s="11" t="s">
        <v>32</v>
      </c>
      <c r="E17" s="12"/>
      <c r="F17" s="12" t="s">
        <v>62</v>
      </c>
    </row>
    <row r="18" customFormat="false" ht="46.25" hidden="false" customHeight="false" outlineLevel="0" collapsed="false">
      <c r="A18" s="10" t="s">
        <v>22</v>
      </c>
      <c r="B18" s="10" t="s">
        <v>63</v>
      </c>
      <c r="C18" s="10"/>
      <c r="D18" s="11" t="s">
        <v>32</v>
      </c>
      <c r="E18" s="12" t="s">
        <v>64</v>
      </c>
      <c r="F18" s="12" t="s">
        <v>65</v>
      </c>
    </row>
    <row r="19" customFormat="false" ht="23.85" hidden="false" customHeight="false" outlineLevel="0" collapsed="false">
      <c r="A19" s="10" t="s">
        <v>22</v>
      </c>
      <c r="B19" s="10" t="s">
        <v>66</v>
      </c>
      <c r="C19" s="10"/>
      <c r="D19" s="11" t="s">
        <v>32</v>
      </c>
      <c r="E19" s="12" t="s">
        <v>67</v>
      </c>
      <c r="F19" s="12" t="s">
        <v>68</v>
      </c>
    </row>
    <row r="20" customFormat="false" ht="15" hidden="false" customHeight="false" outlineLevel="0" collapsed="false">
      <c r="A20" s="10" t="s">
        <v>22</v>
      </c>
      <c r="B20" s="10" t="s">
        <v>69</v>
      </c>
      <c r="C20" s="10"/>
      <c r="D20" s="10" t="s">
        <v>36</v>
      </c>
      <c r="E20" s="12"/>
      <c r="F20" s="12" t="s">
        <v>46</v>
      </c>
    </row>
    <row r="21" customFormat="false" ht="15" hidden="false" customHeight="false" outlineLevel="0" collapsed="false">
      <c r="A21" s="10" t="s">
        <v>22</v>
      </c>
      <c r="B21" s="10" t="s">
        <v>70</v>
      </c>
      <c r="C21" s="10"/>
      <c r="D21" s="10" t="s">
        <v>36</v>
      </c>
      <c r="E21" s="12"/>
      <c r="F21" s="12" t="s">
        <v>46</v>
      </c>
    </row>
    <row r="22" customFormat="false" ht="35.05" hidden="false" customHeight="false" outlineLevel="0" collapsed="false">
      <c r="A22" s="10" t="s">
        <v>22</v>
      </c>
      <c r="B22" s="10" t="s">
        <v>71</v>
      </c>
      <c r="C22" s="10"/>
      <c r="D22" s="11" t="s">
        <v>32</v>
      </c>
      <c r="E22" s="12"/>
      <c r="F22" s="12" t="s">
        <v>72</v>
      </c>
    </row>
    <row r="23" customFormat="false" ht="15" hidden="false" customHeight="false" outlineLevel="0" collapsed="false">
      <c r="A23" s="10" t="s">
        <v>22</v>
      </c>
      <c r="B23" s="10" t="s">
        <v>73</v>
      </c>
      <c r="C23" s="10"/>
      <c r="D23" s="10" t="s">
        <v>36</v>
      </c>
      <c r="E23" s="12"/>
      <c r="F23" s="12" t="s">
        <v>46</v>
      </c>
    </row>
    <row r="24" customFormat="false" ht="15" hidden="false" customHeight="false" outlineLevel="0" collapsed="false">
      <c r="A24" s="10" t="s">
        <v>22</v>
      </c>
      <c r="B24" s="10" t="s">
        <v>74</v>
      </c>
      <c r="C24" s="10"/>
      <c r="D24" s="10" t="s">
        <v>36</v>
      </c>
      <c r="E24" s="12"/>
      <c r="F24" s="12" t="s">
        <v>46</v>
      </c>
    </row>
    <row r="25" customFormat="false" ht="15" hidden="false" customHeight="false" outlineLevel="0" collapsed="false">
      <c r="A25" s="10" t="s">
        <v>22</v>
      </c>
      <c r="B25" s="10" t="s">
        <v>75</v>
      </c>
      <c r="C25" s="10"/>
      <c r="D25" s="10" t="s">
        <v>36</v>
      </c>
      <c r="E25" s="12"/>
      <c r="F25" s="12" t="s">
        <v>76</v>
      </c>
    </row>
    <row r="26" customFormat="false" ht="15" hidden="false" customHeight="false" outlineLevel="0" collapsed="false">
      <c r="A26" s="10" t="s">
        <v>22</v>
      </c>
      <c r="B26" s="10" t="s">
        <v>77</v>
      </c>
      <c r="C26" s="10"/>
      <c r="D26" s="10" t="s">
        <v>36</v>
      </c>
      <c r="E26" s="12"/>
      <c r="F26" s="12" t="s">
        <v>78</v>
      </c>
    </row>
    <row r="27" customFormat="false" ht="23.85" hidden="false" customHeight="false" outlineLevel="0" collapsed="false">
      <c r="A27" s="10" t="s">
        <v>22</v>
      </c>
      <c r="B27" s="10" t="s">
        <v>79</v>
      </c>
      <c r="C27" s="10"/>
      <c r="D27" s="10" t="s">
        <v>36</v>
      </c>
      <c r="E27" s="12"/>
      <c r="F27" s="12" t="s">
        <v>80</v>
      </c>
    </row>
    <row r="28" customFormat="false" ht="35.05" hidden="false" customHeight="false" outlineLevel="0" collapsed="false">
      <c r="A28" s="10" t="s">
        <v>22</v>
      </c>
      <c r="B28" s="10" t="s">
        <v>81</v>
      </c>
      <c r="C28" s="10"/>
      <c r="D28" s="11" t="s">
        <v>32</v>
      </c>
      <c r="E28" s="12"/>
      <c r="F28" s="12" t="s">
        <v>82</v>
      </c>
    </row>
    <row r="29" customFormat="false" ht="35.05" hidden="false" customHeight="false" outlineLevel="0" collapsed="false">
      <c r="A29" s="10" t="s">
        <v>22</v>
      </c>
      <c r="B29" s="10" t="s">
        <v>83</v>
      </c>
      <c r="C29" s="10"/>
      <c r="D29" s="10" t="s">
        <v>36</v>
      </c>
      <c r="E29" s="12"/>
      <c r="F29" s="12" t="s">
        <v>84</v>
      </c>
    </row>
    <row r="30" customFormat="false" ht="23.85" hidden="false" customHeight="false" outlineLevel="0" collapsed="false">
      <c r="A30" s="10" t="s">
        <v>22</v>
      </c>
      <c r="B30" s="10" t="s">
        <v>85</v>
      </c>
      <c r="C30" s="10"/>
      <c r="D30" s="10" t="s">
        <v>36</v>
      </c>
      <c r="E30" s="12"/>
      <c r="F30" s="12" t="s">
        <v>86</v>
      </c>
    </row>
    <row r="31" customFormat="false" ht="15" hidden="false" customHeight="false" outlineLevel="0" collapsed="false">
      <c r="A31" s="10" t="s">
        <v>22</v>
      </c>
      <c r="B31" s="10" t="s">
        <v>87</v>
      </c>
      <c r="C31" s="10"/>
      <c r="D31" s="10" t="s">
        <v>36</v>
      </c>
      <c r="E31" s="12"/>
      <c r="F31" s="12" t="s">
        <v>46</v>
      </c>
    </row>
    <row r="32" customFormat="false" ht="23.85" hidden="false" customHeight="false" outlineLevel="0" collapsed="false">
      <c r="A32" s="10" t="s">
        <v>22</v>
      </c>
      <c r="B32" s="10" t="s">
        <v>88</v>
      </c>
      <c r="C32" s="10"/>
      <c r="D32" s="11" t="s">
        <v>32</v>
      </c>
      <c r="E32" s="12" t="s">
        <v>89</v>
      </c>
      <c r="F32" s="12" t="s">
        <v>90</v>
      </c>
    </row>
    <row r="33" customFormat="false" ht="15" hidden="false" customHeight="false" outlineLevel="0" collapsed="false">
      <c r="A33" s="10" t="s">
        <v>22</v>
      </c>
      <c r="B33" s="10" t="s">
        <v>91</v>
      </c>
      <c r="C33" s="10"/>
      <c r="D33" s="10" t="s">
        <v>36</v>
      </c>
      <c r="E33" s="12"/>
      <c r="F33" s="12" t="s">
        <v>92</v>
      </c>
    </row>
    <row r="34" customFormat="false" ht="23.85" hidden="false" customHeight="false" outlineLevel="0" collapsed="false">
      <c r="A34" s="10" t="s">
        <v>22</v>
      </c>
      <c r="B34" s="10" t="s">
        <v>93</v>
      </c>
      <c r="C34" s="10"/>
      <c r="D34" s="10" t="s">
        <v>36</v>
      </c>
      <c r="E34" s="12"/>
      <c r="F34" s="12" t="s">
        <v>94</v>
      </c>
    </row>
    <row r="35" customFormat="false" ht="15" hidden="false" customHeight="false" outlineLevel="0" collapsed="false">
      <c r="A35" s="10" t="s">
        <v>22</v>
      </c>
      <c r="B35" s="10" t="s">
        <v>95</v>
      </c>
      <c r="C35" s="10"/>
      <c r="D35" s="10" t="s">
        <v>36</v>
      </c>
      <c r="E35" s="12"/>
      <c r="F35" s="12" t="s">
        <v>46</v>
      </c>
    </row>
    <row r="36" customFormat="false" ht="15" hidden="false" customHeight="false" outlineLevel="0" collapsed="false">
      <c r="A36" s="10" t="s">
        <v>22</v>
      </c>
      <c r="B36" s="10" t="s">
        <v>96</v>
      </c>
      <c r="C36" s="10"/>
      <c r="D36" s="10" t="s">
        <v>36</v>
      </c>
      <c r="E36" s="12"/>
      <c r="F36" s="12" t="s">
        <v>46</v>
      </c>
    </row>
    <row r="37" customFormat="false" ht="15" hidden="false" customHeight="false" outlineLevel="0" collapsed="false">
      <c r="A37" s="10" t="s">
        <v>22</v>
      </c>
      <c r="B37" s="10" t="s">
        <v>97</v>
      </c>
      <c r="C37" s="10"/>
      <c r="D37" s="10" t="s">
        <v>36</v>
      </c>
      <c r="E37" s="12"/>
      <c r="F37" s="12" t="s">
        <v>46</v>
      </c>
    </row>
    <row r="38" customFormat="false" ht="23.85" hidden="false" customHeight="false" outlineLevel="0" collapsed="false">
      <c r="A38" s="10" t="s">
        <v>22</v>
      </c>
      <c r="B38" s="10" t="s">
        <v>98</v>
      </c>
      <c r="C38" s="10"/>
      <c r="D38" s="11" t="s">
        <v>32</v>
      </c>
      <c r="E38" s="12" t="s">
        <v>99</v>
      </c>
      <c r="F38" s="12" t="s">
        <v>100</v>
      </c>
    </row>
    <row r="39" customFormat="false" ht="46.25" hidden="false" customHeight="false" outlineLevel="0" collapsed="false">
      <c r="A39" s="10" t="s">
        <v>22</v>
      </c>
      <c r="B39" s="10" t="s">
        <v>101</v>
      </c>
      <c r="C39" s="10"/>
      <c r="D39" s="11" t="s">
        <v>32</v>
      </c>
      <c r="E39" s="12" t="s">
        <v>102</v>
      </c>
      <c r="F39" s="12" t="s">
        <v>103</v>
      </c>
    </row>
    <row r="40" customFormat="false" ht="15" hidden="false" customHeight="false" outlineLevel="0" collapsed="false">
      <c r="A40" s="10" t="s">
        <v>22</v>
      </c>
      <c r="B40" s="10" t="s">
        <v>104</v>
      </c>
      <c r="C40" s="10"/>
      <c r="D40" s="10" t="s">
        <v>36</v>
      </c>
      <c r="E40" s="12"/>
      <c r="F40" s="12" t="s">
        <v>46</v>
      </c>
    </row>
    <row r="41" customFormat="false" ht="15" hidden="false" customHeight="false" outlineLevel="0" collapsed="false">
      <c r="A41" s="10" t="s">
        <v>22</v>
      </c>
      <c r="B41" s="10" t="s">
        <v>105</v>
      </c>
      <c r="C41" s="10"/>
      <c r="D41" s="10" t="s">
        <v>36</v>
      </c>
      <c r="E41" s="12"/>
      <c r="F41" s="12" t="s">
        <v>46</v>
      </c>
    </row>
    <row r="42" customFormat="false" ht="15" hidden="false" customHeight="false" outlineLevel="0" collapsed="false">
      <c r="A42" s="10" t="s">
        <v>22</v>
      </c>
      <c r="B42" s="10" t="s">
        <v>106</v>
      </c>
      <c r="C42" s="10"/>
      <c r="D42" s="10" t="s">
        <v>36</v>
      </c>
      <c r="E42" s="12"/>
      <c r="F42" s="12" t="s">
        <v>46</v>
      </c>
    </row>
    <row r="43" customFormat="false" ht="23.85" hidden="false" customHeight="false" outlineLevel="0" collapsed="false">
      <c r="A43" s="10" t="s">
        <v>22</v>
      </c>
      <c r="B43" s="10" t="s">
        <v>107</v>
      </c>
      <c r="C43" s="10"/>
      <c r="D43" s="11" t="s">
        <v>32</v>
      </c>
      <c r="E43" s="12" t="s">
        <v>108</v>
      </c>
      <c r="F43" s="12" t="s">
        <v>109</v>
      </c>
    </row>
    <row r="44" customFormat="false" ht="23.85" hidden="false" customHeight="false" outlineLevel="0" collapsed="false">
      <c r="A44" s="10" t="s">
        <v>22</v>
      </c>
      <c r="B44" s="10" t="s">
        <v>110</v>
      </c>
      <c r="C44" s="10"/>
      <c r="D44" s="10" t="s">
        <v>36</v>
      </c>
      <c r="E44" s="12"/>
      <c r="F44" s="12" t="s">
        <v>111</v>
      </c>
    </row>
    <row r="45" customFormat="false" ht="23.85" hidden="false" customHeight="false" outlineLevel="0" collapsed="false">
      <c r="A45" s="10" t="s">
        <v>22</v>
      </c>
      <c r="B45" s="10" t="s">
        <v>112</v>
      </c>
      <c r="C45" s="10"/>
      <c r="D45" s="10" t="s">
        <v>36</v>
      </c>
      <c r="E45" s="12"/>
      <c r="F45" s="12" t="s">
        <v>113</v>
      </c>
    </row>
    <row r="46" customFormat="false" ht="15" hidden="false" customHeight="false" outlineLevel="0" collapsed="false">
      <c r="A46" s="10" t="s">
        <v>22</v>
      </c>
      <c r="B46" s="10" t="s">
        <v>114</v>
      </c>
      <c r="C46" s="10"/>
      <c r="D46" s="10" t="s">
        <v>36</v>
      </c>
      <c r="E46" s="12"/>
      <c r="F46" s="12" t="s">
        <v>46</v>
      </c>
    </row>
    <row r="47" customFormat="false" ht="23.85" hidden="false" customHeight="false" outlineLevel="0" collapsed="false">
      <c r="A47" s="10" t="s">
        <v>22</v>
      </c>
      <c r="B47" s="10" t="s">
        <v>115</v>
      </c>
      <c r="C47" s="10"/>
      <c r="D47" s="10" t="s">
        <v>36</v>
      </c>
      <c r="E47" s="12"/>
      <c r="F47" s="12" t="s">
        <v>116</v>
      </c>
    </row>
    <row r="48" customFormat="false" ht="15" hidden="false" customHeight="false" outlineLevel="0" collapsed="false">
      <c r="A48" s="10" t="s">
        <v>22</v>
      </c>
      <c r="B48" s="10" t="s">
        <v>117</v>
      </c>
      <c r="C48" s="10"/>
      <c r="D48" s="10" t="s">
        <v>36</v>
      </c>
      <c r="E48" s="12"/>
      <c r="F48" s="12" t="s">
        <v>118</v>
      </c>
    </row>
    <row r="49" customFormat="false" ht="23.85" hidden="false" customHeight="false" outlineLevel="0" collapsed="false">
      <c r="A49" s="10" t="s">
        <v>22</v>
      </c>
      <c r="B49" s="10" t="s">
        <v>119</v>
      </c>
      <c r="C49" s="10"/>
      <c r="D49" s="11" t="s">
        <v>32</v>
      </c>
      <c r="E49" s="12" t="s">
        <v>120</v>
      </c>
      <c r="F49" s="12" t="s">
        <v>121</v>
      </c>
    </row>
    <row r="50" customFormat="false" ht="15" hidden="false" customHeight="false" outlineLevel="0" collapsed="false">
      <c r="A50" s="10" t="s">
        <v>22</v>
      </c>
      <c r="B50" s="10" t="s">
        <v>122</v>
      </c>
      <c r="C50" s="10"/>
      <c r="D50" s="10" t="s">
        <v>36</v>
      </c>
      <c r="E50" s="12"/>
      <c r="F50" s="12" t="s">
        <v>46</v>
      </c>
    </row>
    <row r="51" customFormat="false" ht="15" hidden="false" customHeight="false" outlineLevel="0" collapsed="false">
      <c r="A51" s="10" t="s">
        <v>22</v>
      </c>
      <c r="B51" s="10" t="s">
        <v>123</v>
      </c>
      <c r="C51" s="10"/>
      <c r="D51" s="10" t="s">
        <v>36</v>
      </c>
      <c r="E51" s="12"/>
      <c r="F51" s="12" t="s">
        <v>46</v>
      </c>
    </row>
    <row r="52" customFormat="false" ht="23.85" hidden="false" customHeight="false" outlineLevel="0" collapsed="false">
      <c r="A52" s="10" t="s">
        <v>22</v>
      </c>
      <c r="B52" s="10" t="s">
        <v>124</v>
      </c>
      <c r="C52" s="10"/>
      <c r="D52" s="10" t="s">
        <v>36</v>
      </c>
      <c r="E52" s="12"/>
      <c r="F52" s="12" t="s">
        <v>125</v>
      </c>
    </row>
    <row r="53" customFormat="false" ht="46.25" hidden="false" customHeight="false" outlineLevel="0" collapsed="false">
      <c r="A53" s="10" t="s">
        <v>23</v>
      </c>
      <c r="B53" s="10" t="s">
        <v>126</v>
      </c>
      <c r="C53" s="10" t="s">
        <v>127</v>
      </c>
      <c r="D53" s="11" t="s">
        <v>32</v>
      </c>
      <c r="E53" s="12" t="s">
        <v>128</v>
      </c>
      <c r="F53" s="12"/>
    </row>
    <row r="54" customFormat="false" ht="68.65" hidden="false" customHeight="false" outlineLevel="0" collapsed="false">
      <c r="A54" s="10" t="s">
        <v>23</v>
      </c>
      <c r="B54" s="10" t="s">
        <v>129</v>
      </c>
      <c r="C54" s="10" t="s">
        <v>130</v>
      </c>
      <c r="D54" s="11" t="s">
        <v>32</v>
      </c>
      <c r="E54" s="12" t="s">
        <v>131</v>
      </c>
      <c r="F54" s="12"/>
    </row>
    <row r="55" customFormat="false" ht="15" hidden="false" customHeight="false" outlineLevel="0" collapsed="false">
      <c r="A55" s="10" t="s">
        <v>23</v>
      </c>
      <c r="B55" s="10" t="s">
        <v>132</v>
      </c>
      <c r="C55" s="10" t="s">
        <v>133</v>
      </c>
      <c r="D55" s="11" t="s">
        <v>32</v>
      </c>
      <c r="E55" s="12" t="s">
        <v>134</v>
      </c>
      <c r="F55" s="12"/>
    </row>
    <row r="56" customFormat="false" ht="15" hidden="false" customHeight="false" outlineLevel="0" collapsed="false">
      <c r="A56" s="10" t="s">
        <v>23</v>
      </c>
      <c r="B56" s="10" t="s">
        <v>135</v>
      </c>
      <c r="C56" s="10" t="s">
        <v>136</v>
      </c>
      <c r="D56" s="11" t="s">
        <v>32</v>
      </c>
      <c r="E56" s="12" t="s">
        <v>137</v>
      </c>
      <c r="F56" s="12"/>
    </row>
    <row r="57" customFormat="false" ht="15" hidden="false" customHeight="false" outlineLevel="0" collapsed="false">
      <c r="A57" s="10" t="s">
        <v>23</v>
      </c>
      <c r="B57" s="10" t="s">
        <v>138</v>
      </c>
      <c r="C57" s="10" t="s">
        <v>139</v>
      </c>
      <c r="D57" s="11" t="s">
        <v>32</v>
      </c>
      <c r="E57" s="12" t="s">
        <v>140</v>
      </c>
      <c r="F57" s="12"/>
    </row>
    <row r="58" customFormat="false" ht="23.85" hidden="false" customHeight="false" outlineLevel="0" collapsed="false">
      <c r="A58" s="10" t="s">
        <v>23</v>
      </c>
      <c r="B58" s="10" t="s">
        <v>141</v>
      </c>
      <c r="C58" s="10" t="s">
        <v>142</v>
      </c>
      <c r="D58" s="10" t="s">
        <v>36</v>
      </c>
      <c r="E58" s="12" t="s">
        <v>143</v>
      </c>
      <c r="F58" s="12"/>
    </row>
    <row r="59" customFormat="false" ht="15" hidden="false" customHeight="false" outlineLevel="0" collapsed="false">
      <c r="A59" s="10" t="s">
        <v>23</v>
      </c>
      <c r="B59" s="10" t="s">
        <v>144</v>
      </c>
      <c r="C59" s="10" t="s">
        <v>145</v>
      </c>
      <c r="D59" s="10" t="s">
        <v>36</v>
      </c>
      <c r="E59" s="12"/>
      <c r="F59" s="12"/>
    </row>
    <row r="60" customFormat="false" ht="23.85" hidden="false" customHeight="false" outlineLevel="0" collapsed="false">
      <c r="A60" s="10" t="s">
        <v>23</v>
      </c>
      <c r="B60" s="10" t="s">
        <v>146</v>
      </c>
      <c r="C60" s="10" t="s">
        <v>147</v>
      </c>
      <c r="D60" s="11" t="s">
        <v>32</v>
      </c>
      <c r="E60" s="12" t="s">
        <v>148</v>
      </c>
      <c r="F60" s="12"/>
    </row>
    <row r="61" customFormat="false" ht="91" hidden="false" customHeight="false" outlineLevel="0" collapsed="false">
      <c r="A61" s="10" t="s">
        <v>23</v>
      </c>
      <c r="B61" s="10" t="s">
        <v>149</v>
      </c>
      <c r="C61" s="10" t="s">
        <v>150</v>
      </c>
      <c r="D61" s="11" t="s">
        <v>32</v>
      </c>
      <c r="E61" s="12" t="s">
        <v>151</v>
      </c>
      <c r="F61" s="12"/>
    </row>
    <row r="62" customFormat="false" ht="15" hidden="false" customHeight="false" outlineLevel="0" collapsed="false">
      <c r="A62" s="10" t="s">
        <v>23</v>
      </c>
      <c r="B62" s="10" t="s">
        <v>152</v>
      </c>
      <c r="C62" s="10" t="s">
        <v>153</v>
      </c>
      <c r="D62" s="11" t="s">
        <v>32</v>
      </c>
      <c r="E62" s="12" t="s">
        <v>154</v>
      </c>
      <c r="F62" s="12"/>
    </row>
    <row r="63" customFormat="false" ht="35.05" hidden="false" customHeight="false" outlineLevel="0" collapsed="false">
      <c r="A63" s="10" t="s">
        <v>23</v>
      </c>
      <c r="B63" s="10" t="s">
        <v>155</v>
      </c>
      <c r="C63" s="10" t="s">
        <v>156</v>
      </c>
      <c r="D63" s="11" t="s">
        <v>32</v>
      </c>
      <c r="E63" s="12" t="s">
        <v>157</v>
      </c>
      <c r="F63" s="12"/>
    </row>
    <row r="64" customFormat="false" ht="15" hidden="false" customHeight="false" outlineLevel="0" collapsed="false">
      <c r="A64" s="10" t="s">
        <v>23</v>
      </c>
      <c r="B64" s="10" t="s">
        <v>158</v>
      </c>
      <c r="C64" s="10" t="s">
        <v>159</v>
      </c>
      <c r="D64" s="10" t="s">
        <v>36</v>
      </c>
      <c r="E64" s="12"/>
      <c r="F64" s="12"/>
    </row>
    <row r="65" customFormat="false" ht="15" hidden="false" customHeight="false" outlineLevel="0" collapsed="false">
      <c r="A65" s="10" t="s">
        <v>23</v>
      </c>
      <c r="B65" s="10" t="s">
        <v>160</v>
      </c>
      <c r="C65" s="10" t="s">
        <v>161</v>
      </c>
      <c r="D65" s="11" t="s">
        <v>32</v>
      </c>
      <c r="E65" s="12" t="s">
        <v>162</v>
      </c>
      <c r="F65" s="12"/>
    </row>
    <row r="66" customFormat="false" ht="23.85" hidden="false" customHeight="false" outlineLevel="0" collapsed="false">
      <c r="A66" s="10" t="s">
        <v>23</v>
      </c>
      <c r="B66" s="10" t="s">
        <v>163</v>
      </c>
      <c r="C66" s="10" t="s">
        <v>164</v>
      </c>
      <c r="D66" s="11" t="s">
        <v>32</v>
      </c>
      <c r="E66" s="12" t="s">
        <v>165</v>
      </c>
      <c r="F66" s="12"/>
    </row>
    <row r="67" customFormat="false" ht="15" hidden="false" customHeight="false" outlineLevel="0" collapsed="false">
      <c r="A67" s="10" t="s">
        <v>23</v>
      </c>
      <c r="B67" s="10" t="s">
        <v>166</v>
      </c>
      <c r="C67" s="10" t="s">
        <v>167</v>
      </c>
      <c r="D67" s="10" t="s">
        <v>36</v>
      </c>
      <c r="E67" s="12"/>
      <c r="F67" s="12"/>
    </row>
    <row r="68" customFormat="false" ht="15" hidden="false" customHeight="false" outlineLevel="0" collapsed="false">
      <c r="A68" s="10" t="s">
        <v>23</v>
      </c>
      <c r="B68" s="10" t="s">
        <v>168</v>
      </c>
      <c r="C68" s="10" t="s">
        <v>169</v>
      </c>
      <c r="D68" s="11" t="s">
        <v>32</v>
      </c>
      <c r="E68" s="12" t="s">
        <v>170</v>
      </c>
      <c r="F68" s="12"/>
    </row>
    <row r="69" customFormat="false" ht="15" hidden="false" customHeight="false" outlineLevel="0" collapsed="false">
      <c r="A69" s="10" t="s">
        <v>23</v>
      </c>
      <c r="B69" s="10" t="s">
        <v>171</v>
      </c>
      <c r="C69" s="10" t="s">
        <v>172</v>
      </c>
      <c r="D69" s="11" t="s">
        <v>32</v>
      </c>
      <c r="E69" s="12" t="s">
        <v>173</v>
      </c>
      <c r="F69" s="12"/>
    </row>
    <row r="70" customFormat="false" ht="15" hidden="false" customHeight="false" outlineLevel="0" collapsed="false">
      <c r="A70" s="10" t="s">
        <v>23</v>
      </c>
      <c r="B70" s="10" t="s">
        <v>174</v>
      </c>
      <c r="C70" s="10" t="s">
        <v>175</v>
      </c>
      <c r="D70" s="11" t="s">
        <v>32</v>
      </c>
      <c r="E70" s="12" t="s">
        <v>176</v>
      </c>
      <c r="F70" s="12"/>
    </row>
    <row r="71" customFormat="false" ht="23.85" hidden="false" customHeight="false" outlineLevel="0" collapsed="false">
      <c r="A71" s="10" t="s">
        <v>23</v>
      </c>
      <c r="B71" s="10" t="s">
        <v>177</v>
      </c>
      <c r="C71" s="10" t="s">
        <v>178</v>
      </c>
      <c r="D71" s="11" t="s">
        <v>32</v>
      </c>
      <c r="E71" s="12" t="s">
        <v>179</v>
      </c>
      <c r="F71" s="12"/>
    </row>
    <row r="72" customFormat="false" ht="15" hidden="false" customHeight="false" outlineLevel="0" collapsed="false">
      <c r="A72" s="10" t="s">
        <v>23</v>
      </c>
      <c r="B72" s="10" t="s">
        <v>180</v>
      </c>
      <c r="C72" s="10" t="s">
        <v>181</v>
      </c>
      <c r="D72" s="11" t="s">
        <v>32</v>
      </c>
      <c r="E72" s="12" t="s">
        <v>182</v>
      </c>
      <c r="F72" s="12"/>
    </row>
    <row r="73" customFormat="false" ht="23.85" hidden="false" customHeight="false" outlineLevel="0" collapsed="false">
      <c r="A73" s="10" t="s">
        <v>23</v>
      </c>
      <c r="B73" s="10" t="s">
        <v>183</v>
      </c>
      <c r="C73" s="10" t="s">
        <v>184</v>
      </c>
      <c r="D73" s="11" t="s">
        <v>32</v>
      </c>
      <c r="E73" s="12" t="s">
        <v>185</v>
      </c>
      <c r="F73" s="12"/>
    </row>
    <row r="74" customFormat="false" ht="46.25" hidden="false" customHeight="false" outlineLevel="0" collapsed="false">
      <c r="A74" s="10" t="s">
        <v>23</v>
      </c>
      <c r="B74" s="10" t="s">
        <v>186</v>
      </c>
      <c r="C74" s="10" t="s">
        <v>40</v>
      </c>
      <c r="D74" s="11" t="s">
        <v>32</v>
      </c>
      <c r="E74" s="12" t="s">
        <v>187</v>
      </c>
      <c r="F74" s="12"/>
    </row>
    <row r="75" customFormat="false" ht="15" hidden="false" customHeight="false" outlineLevel="0" collapsed="false">
      <c r="A75" s="10" t="s">
        <v>23</v>
      </c>
      <c r="B75" s="10" t="s">
        <v>188</v>
      </c>
      <c r="C75" s="10" t="s">
        <v>189</v>
      </c>
      <c r="D75" s="11" t="s">
        <v>32</v>
      </c>
      <c r="E75" s="12" t="s">
        <v>190</v>
      </c>
      <c r="F75" s="12"/>
    </row>
    <row r="76" customFormat="false" ht="15" hidden="false" customHeight="false" outlineLevel="0" collapsed="false">
      <c r="A76" s="10" t="s">
        <v>23</v>
      </c>
      <c r="B76" s="10" t="s">
        <v>191</v>
      </c>
      <c r="C76" s="10" t="s">
        <v>145</v>
      </c>
      <c r="D76" s="10" t="s">
        <v>36</v>
      </c>
      <c r="E76" s="12"/>
      <c r="F76" s="12"/>
    </row>
    <row r="77" customFormat="false" ht="15" hidden="false" customHeight="false" outlineLevel="0" collapsed="false">
      <c r="A77" s="10" t="s">
        <v>23</v>
      </c>
      <c r="B77" s="10" t="s">
        <v>192</v>
      </c>
      <c r="C77" s="10"/>
      <c r="D77" s="10" t="s">
        <v>36</v>
      </c>
      <c r="E77" s="12"/>
      <c r="F77" s="12"/>
    </row>
    <row r="78" customFormat="false" ht="15" hidden="false" customHeight="false" outlineLevel="0" collapsed="false">
      <c r="A78" s="10" t="s">
        <v>23</v>
      </c>
      <c r="B78" s="10" t="s">
        <v>193</v>
      </c>
      <c r="C78" s="10"/>
      <c r="D78" s="10" t="s">
        <v>36</v>
      </c>
      <c r="E78" s="12"/>
      <c r="F78" s="12"/>
    </row>
    <row r="79" customFormat="false" ht="15" hidden="false" customHeight="false" outlineLevel="0" collapsed="false">
      <c r="A79" s="10" t="s">
        <v>23</v>
      </c>
      <c r="B79" s="10" t="s">
        <v>194</v>
      </c>
      <c r="C79" s="10" t="s">
        <v>195</v>
      </c>
      <c r="D79" s="10" t="s">
        <v>36</v>
      </c>
      <c r="E79" s="12" t="s">
        <v>196</v>
      </c>
      <c r="F79" s="12"/>
    </row>
    <row r="80" customFormat="false" ht="15" hidden="false" customHeight="false" outlineLevel="0" collapsed="false">
      <c r="A80" s="10" t="s">
        <v>23</v>
      </c>
      <c r="B80" s="10" t="s">
        <v>197</v>
      </c>
      <c r="C80" s="10" t="s">
        <v>198</v>
      </c>
      <c r="D80" s="10" t="s">
        <v>36</v>
      </c>
      <c r="E80" s="12" t="s">
        <v>199</v>
      </c>
      <c r="F80" s="12"/>
    </row>
    <row r="81" customFormat="false" ht="15" hidden="false" customHeight="false" outlineLevel="0" collapsed="false">
      <c r="A81" s="10" t="s">
        <v>23</v>
      </c>
      <c r="B81" s="10" t="s">
        <v>200</v>
      </c>
      <c r="C81" s="10" t="s">
        <v>201</v>
      </c>
      <c r="D81" s="11" t="s">
        <v>32</v>
      </c>
      <c r="E81" s="12" t="s">
        <v>202</v>
      </c>
      <c r="F81" s="12"/>
    </row>
    <row r="82" customFormat="false" ht="46.25" hidden="false" customHeight="false" outlineLevel="0" collapsed="false">
      <c r="A82" s="10" t="s">
        <v>23</v>
      </c>
      <c r="B82" s="10" t="s">
        <v>203</v>
      </c>
      <c r="C82" s="10" t="s">
        <v>204</v>
      </c>
      <c r="D82" s="11" t="s">
        <v>32</v>
      </c>
      <c r="E82" s="12" t="s">
        <v>205</v>
      </c>
      <c r="F82" s="12"/>
    </row>
    <row r="83" customFormat="false" ht="15" hidden="false" customHeight="false" outlineLevel="0" collapsed="false">
      <c r="A83" s="10" t="s">
        <v>23</v>
      </c>
      <c r="B83" s="10" t="s">
        <v>206</v>
      </c>
      <c r="C83" s="10" t="s">
        <v>207</v>
      </c>
      <c r="D83" s="10" t="s">
        <v>36</v>
      </c>
      <c r="E83" s="12"/>
      <c r="F83" s="12"/>
    </row>
    <row r="84" customFormat="false" ht="23.85" hidden="false" customHeight="false" outlineLevel="0" collapsed="false">
      <c r="A84" s="10" t="s">
        <v>23</v>
      </c>
      <c r="B84" s="10" t="s">
        <v>208</v>
      </c>
      <c r="C84" s="10" t="s">
        <v>209</v>
      </c>
      <c r="D84" s="11" t="s">
        <v>32</v>
      </c>
      <c r="E84" s="12" t="s">
        <v>210</v>
      </c>
      <c r="F84" s="12"/>
    </row>
    <row r="85" customFormat="false" ht="15" hidden="false" customHeight="false" outlineLevel="0" collapsed="false">
      <c r="A85" s="10" t="s">
        <v>23</v>
      </c>
      <c r="B85" s="10" t="s">
        <v>211</v>
      </c>
      <c r="C85" s="10" t="s">
        <v>211</v>
      </c>
      <c r="D85" s="11" t="s">
        <v>32</v>
      </c>
      <c r="E85" s="12" t="s">
        <v>212</v>
      </c>
      <c r="F85" s="12"/>
    </row>
    <row r="86" customFormat="false" ht="15" hidden="false" customHeight="false" outlineLevel="0" collapsed="false">
      <c r="A86" s="10" t="s">
        <v>23</v>
      </c>
      <c r="B86" s="10" t="s">
        <v>213</v>
      </c>
      <c r="C86" s="10" t="s">
        <v>214</v>
      </c>
      <c r="D86" s="11" t="s">
        <v>32</v>
      </c>
      <c r="E86" s="12" t="s">
        <v>215</v>
      </c>
      <c r="F86" s="12"/>
    </row>
    <row r="87" customFormat="false" ht="15" hidden="false" customHeight="false" outlineLevel="0" collapsed="false">
      <c r="A87" s="10" t="s">
        <v>23</v>
      </c>
      <c r="B87" s="10" t="s">
        <v>216</v>
      </c>
      <c r="C87" s="10" t="s">
        <v>217</v>
      </c>
      <c r="D87" s="11" t="s">
        <v>32</v>
      </c>
      <c r="E87" s="12" t="s">
        <v>218</v>
      </c>
      <c r="F87" s="12"/>
    </row>
    <row r="88" customFormat="false" ht="15" hidden="false" customHeight="false" outlineLevel="0" collapsed="false">
      <c r="A88" s="10" t="s">
        <v>23</v>
      </c>
      <c r="B88" s="10" t="s">
        <v>219</v>
      </c>
      <c r="C88" s="10" t="s">
        <v>220</v>
      </c>
      <c r="D88" s="11" t="s">
        <v>32</v>
      </c>
      <c r="E88" s="12" t="s">
        <v>221</v>
      </c>
      <c r="F88" s="12"/>
    </row>
    <row r="89" customFormat="false" ht="23.85" hidden="false" customHeight="false" outlineLevel="0" collapsed="false">
      <c r="A89" s="10" t="s">
        <v>23</v>
      </c>
      <c r="B89" s="10" t="s">
        <v>222</v>
      </c>
      <c r="C89" s="10" t="s">
        <v>223</v>
      </c>
      <c r="D89" s="11" t="s">
        <v>32</v>
      </c>
      <c r="E89" s="12" t="s">
        <v>224</v>
      </c>
      <c r="F89" s="12"/>
    </row>
    <row r="90" customFormat="false" ht="23.85" hidden="false" customHeight="false" outlineLevel="0" collapsed="false">
      <c r="A90" s="10" t="s">
        <v>23</v>
      </c>
      <c r="B90" s="10" t="s">
        <v>225</v>
      </c>
      <c r="C90" s="10" t="s">
        <v>226</v>
      </c>
      <c r="D90" s="11" t="s">
        <v>32</v>
      </c>
      <c r="E90" s="12" t="s">
        <v>227</v>
      </c>
      <c r="F90" s="12"/>
    </row>
    <row r="91" customFormat="false" ht="23.85" hidden="false" customHeight="false" outlineLevel="0" collapsed="false">
      <c r="A91" s="10" t="s">
        <v>24</v>
      </c>
      <c r="B91" s="10" t="s">
        <v>228</v>
      </c>
      <c r="C91" s="10"/>
      <c r="D91" s="10" t="s">
        <v>36</v>
      </c>
      <c r="E91" s="12"/>
      <c r="F91" s="12" t="s">
        <v>229</v>
      </c>
    </row>
    <row r="92" customFormat="false" ht="35.05" hidden="false" customHeight="false" outlineLevel="0" collapsed="false">
      <c r="A92" s="10" t="s">
        <v>24</v>
      </c>
      <c r="B92" s="10" t="s">
        <v>230</v>
      </c>
      <c r="C92" s="10"/>
      <c r="D92" s="11" t="s">
        <v>32</v>
      </c>
      <c r="E92" s="12" t="s">
        <v>231</v>
      </c>
      <c r="F92" s="12" t="s">
        <v>232</v>
      </c>
    </row>
    <row r="93" customFormat="false" ht="23.85" hidden="false" customHeight="false" outlineLevel="0" collapsed="false">
      <c r="A93" s="10" t="s">
        <v>24</v>
      </c>
      <c r="B93" s="10" t="s">
        <v>233</v>
      </c>
      <c r="C93" s="10"/>
      <c r="D93" s="11" t="s">
        <v>32</v>
      </c>
      <c r="E93" s="12" t="s">
        <v>234</v>
      </c>
      <c r="F93" s="12" t="s">
        <v>235</v>
      </c>
    </row>
    <row r="94" customFormat="false" ht="35.05" hidden="false" customHeight="false" outlineLevel="0" collapsed="false">
      <c r="A94" s="10" t="s">
        <v>24</v>
      </c>
      <c r="B94" s="10" t="s">
        <v>236</v>
      </c>
      <c r="C94" s="10"/>
      <c r="D94" s="11" t="s">
        <v>32</v>
      </c>
      <c r="E94" s="12" t="s">
        <v>237</v>
      </c>
      <c r="F94" s="12" t="s">
        <v>238</v>
      </c>
    </row>
    <row r="95" customFormat="false" ht="15" hidden="false" customHeight="false" outlineLevel="0" collapsed="false">
      <c r="A95" s="10" t="s">
        <v>24</v>
      </c>
      <c r="B95" s="10" t="s">
        <v>239</v>
      </c>
      <c r="C95" s="10"/>
      <c r="D95" s="10" t="s">
        <v>36</v>
      </c>
      <c r="E95" s="12"/>
      <c r="F95" s="12" t="s">
        <v>46</v>
      </c>
    </row>
    <row r="96" customFormat="false" ht="15" hidden="false" customHeight="false" outlineLevel="0" collapsed="false">
      <c r="A96" s="10" t="s">
        <v>24</v>
      </c>
      <c r="B96" s="10" t="s">
        <v>70</v>
      </c>
      <c r="C96" s="10"/>
      <c r="D96" s="10" t="s">
        <v>36</v>
      </c>
      <c r="E96" s="12"/>
      <c r="F96" s="12" t="s">
        <v>240</v>
      </c>
    </row>
    <row r="97" customFormat="false" ht="15" hidden="false" customHeight="false" outlineLevel="0" collapsed="false">
      <c r="A97" s="10" t="s">
        <v>24</v>
      </c>
      <c r="B97" s="10" t="s">
        <v>241</v>
      </c>
      <c r="C97" s="10"/>
      <c r="D97" s="10" t="s">
        <v>36</v>
      </c>
      <c r="E97" s="12"/>
      <c r="F97" s="12" t="s">
        <v>242</v>
      </c>
    </row>
    <row r="98" customFormat="false" ht="23.85" hidden="false" customHeight="false" outlineLevel="0" collapsed="false">
      <c r="A98" s="10" t="s">
        <v>24</v>
      </c>
      <c r="B98" s="10" t="s">
        <v>243</v>
      </c>
      <c r="C98" s="10"/>
      <c r="D98" s="11" t="s">
        <v>32</v>
      </c>
      <c r="E98" s="12" t="s">
        <v>244</v>
      </c>
      <c r="F98" s="12" t="s">
        <v>245</v>
      </c>
    </row>
    <row r="99" customFormat="false" ht="15" hidden="false" customHeight="false" outlineLevel="0" collapsed="false">
      <c r="A99" s="10" t="s">
        <v>24</v>
      </c>
      <c r="B99" s="10" t="s">
        <v>246</v>
      </c>
      <c r="C99" s="10"/>
      <c r="D99" s="10" t="s">
        <v>36</v>
      </c>
      <c r="E99" s="12"/>
      <c r="F99" s="12" t="s">
        <v>247</v>
      </c>
    </row>
    <row r="100" customFormat="false" ht="35.05" hidden="false" customHeight="false" outlineLevel="0" collapsed="false">
      <c r="A100" s="10" t="s">
        <v>24</v>
      </c>
      <c r="B100" s="10" t="s">
        <v>248</v>
      </c>
      <c r="C100" s="10"/>
      <c r="D100" s="11" t="s">
        <v>32</v>
      </c>
      <c r="E100" s="12" t="s">
        <v>249</v>
      </c>
      <c r="F100" s="12" t="s">
        <v>250</v>
      </c>
    </row>
    <row r="101" customFormat="false" ht="15" hidden="false" customHeight="false" outlineLevel="0" collapsed="false">
      <c r="A101" s="10" t="s">
        <v>24</v>
      </c>
      <c r="B101" s="10" t="s">
        <v>251</v>
      </c>
      <c r="C101" s="10"/>
      <c r="D101" s="11" t="s">
        <v>32</v>
      </c>
      <c r="E101" s="12"/>
      <c r="F101" s="12" t="s">
        <v>252</v>
      </c>
    </row>
    <row r="102" customFormat="false" ht="15" hidden="false" customHeight="false" outlineLevel="0" collapsed="false">
      <c r="A102" s="10" t="s">
        <v>24</v>
      </c>
      <c r="B102" s="10" t="s">
        <v>253</v>
      </c>
      <c r="C102" s="10"/>
      <c r="D102" s="10" t="s">
        <v>36</v>
      </c>
      <c r="E102" s="12"/>
      <c r="F102" s="12" t="s">
        <v>254</v>
      </c>
    </row>
    <row r="103" customFormat="false" ht="15" hidden="false" customHeight="false" outlineLevel="0" collapsed="false">
      <c r="A103" s="10" t="s">
        <v>24</v>
      </c>
      <c r="B103" s="10" t="s">
        <v>255</v>
      </c>
      <c r="C103" s="10"/>
      <c r="D103" s="10" t="s">
        <v>36</v>
      </c>
      <c r="E103" s="12"/>
      <c r="F103" s="12" t="s">
        <v>46</v>
      </c>
    </row>
    <row r="104" customFormat="false" ht="35.05" hidden="false" customHeight="false" outlineLevel="0" collapsed="false">
      <c r="A104" s="10" t="s">
        <v>24</v>
      </c>
      <c r="B104" s="10" t="s">
        <v>256</v>
      </c>
      <c r="C104" s="10"/>
      <c r="D104" s="10" t="s">
        <v>36</v>
      </c>
      <c r="E104" s="12"/>
      <c r="F104" s="12" t="s">
        <v>257</v>
      </c>
    </row>
    <row r="105" customFormat="false" ht="23.85" hidden="false" customHeight="false" outlineLevel="0" collapsed="false">
      <c r="A105" s="10" t="s">
        <v>24</v>
      </c>
      <c r="B105" s="10" t="s">
        <v>258</v>
      </c>
      <c r="C105" s="10"/>
      <c r="D105" s="11" t="s">
        <v>32</v>
      </c>
      <c r="E105" s="12" t="s">
        <v>259</v>
      </c>
      <c r="F105" s="12" t="s">
        <v>260</v>
      </c>
    </row>
    <row r="106" customFormat="false" ht="23.85" hidden="false" customHeight="false" outlineLevel="0" collapsed="false">
      <c r="A106" s="10" t="s">
        <v>24</v>
      </c>
      <c r="B106" s="10" t="s">
        <v>261</v>
      </c>
      <c r="C106" s="10"/>
      <c r="D106" s="10" t="s">
        <v>36</v>
      </c>
      <c r="E106" s="12"/>
      <c r="F106" s="12" t="s">
        <v>262</v>
      </c>
    </row>
    <row r="107" customFormat="false" ht="15" hidden="false" customHeight="false" outlineLevel="0" collapsed="false">
      <c r="A107" s="10" t="s">
        <v>24</v>
      </c>
      <c r="B107" s="10" t="s">
        <v>263</v>
      </c>
      <c r="C107" s="10"/>
      <c r="D107" s="10" t="s">
        <v>36</v>
      </c>
      <c r="E107" s="12"/>
      <c r="F107" s="12" t="s">
        <v>46</v>
      </c>
    </row>
    <row r="108" customFormat="false" ht="15" hidden="false" customHeight="false" outlineLevel="0" collapsed="false">
      <c r="A108" s="10" t="s">
        <v>24</v>
      </c>
      <c r="B108" s="10" t="s">
        <v>264</v>
      </c>
      <c r="C108" s="10"/>
      <c r="D108" s="10" t="s">
        <v>36</v>
      </c>
      <c r="E108" s="12"/>
      <c r="F108" s="12" t="s">
        <v>46</v>
      </c>
    </row>
    <row r="109" customFormat="false" ht="15" hidden="false" customHeight="false" outlineLevel="0" collapsed="false">
      <c r="A109" s="10" t="s">
        <v>24</v>
      </c>
      <c r="B109" s="10" t="s">
        <v>265</v>
      </c>
      <c r="C109" s="10"/>
      <c r="D109" s="10" t="s">
        <v>36</v>
      </c>
      <c r="E109" s="12"/>
      <c r="F109" s="12" t="s">
        <v>46</v>
      </c>
    </row>
    <row r="110" customFormat="false" ht="35.05" hidden="false" customHeight="false" outlineLevel="0" collapsed="false">
      <c r="A110" s="10" t="s">
        <v>24</v>
      </c>
      <c r="B110" s="10" t="s">
        <v>266</v>
      </c>
      <c r="C110" s="10"/>
      <c r="D110" s="11" t="s">
        <v>32</v>
      </c>
      <c r="E110" s="12"/>
      <c r="F110" s="12" t="s">
        <v>267</v>
      </c>
    </row>
    <row r="111" customFormat="false" ht="15" hidden="false" customHeight="false" outlineLevel="0" collapsed="false">
      <c r="A111" s="10" t="s">
        <v>24</v>
      </c>
      <c r="B111" s="10" t="s">
        <v>268</v>
      </c>
      <c r="C111" s="10"/>
      <c r="D111" s="10" t="s">
        <v>36</v>
      </c>
      <c r="E111" s="12"/>
      <c r="F111" s="12" t="s">
        <v>46</v>
      </c>
    </row>
    <row r="112" customFormat="false" ht="15" hidden="false" customHeight="false" outlineLevel="0" collapsed="false">
      <c r="A112" s="10" t="s">
        <v>24</v>
      </c>
      <c r="B112" s="10" t="s">
        <v>269</v>
      </c>
      <c r="C112" s="10"/>
      <c r="D112" s="10" t="s">
        <v>36</v>
      </c>
      <c r="E112" s="12"/>
      <c r="F112" s="12" t="s">
        <v>46</v>
      </c>
    </row>
    <row r="113" customFormat="false" ht="15" hidden="false" customHeight="false" outlineLevel="0" collapsed="false">
      <c r="A113" s="10" t="s">
        <v>24</v>
      </c>
      <c r="B113" s="10" t="s">
        <v>105</v>
      </c>
      <c r="C113" s="10"/>
      <c r="D113" s="10" t="s">
        <v>36</v>
      </c>
      <c r="E113" s="12"/>
      <c r="F113" s="12" t="s">
        <v>46</v>
      </c>
    </row>
    <row r="114" customFormat="false" ht="35.05" hidden="false" customHeight="false" outlineLevel="0" collapsed="false">
      <c r="A114" s="10" t="s">
        <v>24</v>
      </c>
      <c r="B114" s="10" t="s">
        <v>104</v>
      </c>
      <c r="C114" s="10"/>
      <c r="D114" s="10" t="s">
        <v>36</v>
      </c>
      <c r="E114" s="12"/>
      <c r="F114" s="12" t="s">
        <v>270</v>
      </c>
    </row>
    <row r="115" customFormat="false" ht="23.85" hidden="false" customHeight="false" outlineLevel="0" collapsed="false">
      <c r="A115" s="10" t="s">
        <v>24</v>
      </c>
      <c r="B115" s="10" t="s">
        <v>271</v>
      </c>
      <c r="C115" s="10"/>
      <c r="D115" s="10" t="s">
        <v>36</v>
      </c>
      <c r="E115" s="12"/>
      <c r="F115" s="12" t="s">
        <v>272</v>
      </c>
    </row>
    <row r="116" customFormat="false" ht="35.05" hidden="false" customHeight="false" outlineLevel="0" collapsed="false">
      <c r="A116" s="10" t="s">
        <v>24</v>
      </c>
      <c r="B116" s="10" t="s">
        <v>273</v>
      </c>
      <c r="C116" s="10"/>
      <c r="D116" s="11" t="s">
        <v>32</v>
      </c>
      <c r="E116" s="12" t="s">
        <v>274</v>
      </c>
      <c r="F116" s="12" t="s">
        <v>275</v>
      </c>
    </row>
    <row r="117" customFormat="false" ht="23.85" hidden="false" customHeight="false" outlineLevel="0" collapsed="false">
      <c r="A117" s="10" t="s">
        <v>24</v>
      </c>
      <c r="B117" s="10" t="s">
        <v>276</v>
      </c>
      <c r="C117" s="10"/>
      <c r="D117" s="10" t="s">
        <v>36</v>
      </c>
      <c r="E117" s="12"/>
      <c r="F117" s="12" t="s">
        <v>277</v>
      </c>
    </row>
    <row r="118" customFormat="false" ht="23.85" hidden="false" customHeight="false" outlineLevel="0" collapsed="false">
      <c r="A118" s="10" t="s">
        <v>24</v>
      </c>
      <c r="B118" s="10" t="s">
        <v>278</v>
      </c>
      <c r="C118" s="10"/>
      <c r="D118" s="10" t="s">
        <v>36</v>
      </c>
      <c r="E118" s="12"/>
      <c r="F118" s="12" t="s">
        <v>279</v>
      </c>
    </row>
    <row r="119" customFormat="false" ht="15" hidden="false" customHeight="false" outlineLevel="0" collapsed="false">
      <c r="A119" s="10" t="s">
        <v>24</v>
      </c>
      <c r="B119" s="10" t="s">
        <v>280</v>
      </c>
      <c r="C119" s="10"/>
      <c r="D119" s="10" t="s">
        <v>36</v>
      </c>
      <c r="E119" s="12"/>
      <c r="F119" s="12" t="s">
        <v>46</v>
      </c>
    </row>
    <row r="120" customFormat="false" ht="91" hidden="false" customHeight="false" outlineLevel="0" collapsed="false">
      <c r="A120" s="10" t="s">
        <v>24</v>
      </c>
      <c r="B120" s="10" t="s">
        <v>281</v>
      </c>
      <c r="C120" s="10"/>
      <c r="D120" s="11" t="s">
        <v>32</v>
      </c>
      <c r="E120" s="12" t="s">
        <v>282</v>
      </c>
      <c r="F120" s="12" t="s">
        <v>283</v>
      </c>
    </row>
    <row r="121" customFormat="false" ht="35.05" hidden="false" customHeight="false" outlineLevel="0" collapsed="false">
      <c r="A121" s="10" t="s">
        <v>24</v>
      </c>
      <c r="B121" s="10" t="s">
        <v>284</v>
      </c>
      <c r="C121" s="10"/>
      <c r="D121" s="11" t="s">
        <v>32</v>
      </c>
      <c r="E121" s="12" t="s">
        <v>285</v>
      </c>
      <c r="F121" s="12" t="s">
        <v>286</v>
      </c>
    </row>
    <row r="122" customFormat="false" ht="15" hidden="false" customHeight="false" outlineLevel="0" collapsed="false">
      <c r="A122" s="10" t="s">
        <v>24</v>
      </c>
      <c r="B122" s="10" t="s">
        <v>287</v>
      </c>
      <c r="C122" s="10"/>
      <c r="D122" s="10" t="s">
        <v>36</v>
      </c>
      <c r="E122" s="12"/>
      <c r="F122" s="12" t="s">
        <v>288</v>
      </c>
    </row>
    <row r="123" customFormat="false" ht="15" hidden="false" customHeight="false" outlineLevel="0" collapsed="false">
      <c r="A123" s="10" t="s">
        <v>24</v>
      </c>
      <c r="B123" s="10" t="s">
        <v>289</v>
      </c>
      <c r="C123" s="10"/>
      <c r="D123" s="10" t="s">
        <v>36</v>
      </c>
      <c r="E123" s="12"/>
      <c r="F123" s="12" t="s">
        <v>290</v>
      </c>
    </row>
    <row r="124" customFormat="false" ht="15" hidden="false" customHeight="false" outlineLevel="0" collapsed="false">
      <c r="A124" s="10" t="s">
        <v>24</v>
      </c>
      <c r="B124" s="10" t="s">
        <v>291</v>
      </c>
      <c r="C124" s="10"/>
      <c r="D124" s="10" t="s">
        <v>36</v>
      </c>
      <c r="E124" s="12"/>
      <c r="F124" s="12" t="s">
        <v>290</v>
      </c>
    </row>
    <row r="125" customFormat="false" ht="15" hidden="false" customHeight="false" outlineLevel="0" collapsed="false">
      <c r="A125" s="10" t="s">
        <v>24</v>
      </c>
      <c r="B125" s="10" t="s">
        <v>292</v>
      </c>
      <c r="C125" s="10"/>
      <c r="D125" s="10" t="s">
        <v>36</v>
      </c>
      <c r="E125" s="12"/>
      <c r="F125" s="12" t="s">
        <v>290</v>
      </c>
    </row>
    <row r="126" customFormat="false" ht="15" hidden="false" customHeight="false" outlineLevel="0" collapsed="false">
      <c r="A126" s="10" t="s">
        <v>24</v>
      </c>
      <c r="B126" s="10" t="s">
        <v>293</v>
      </c>
      <c r="C126" s="10"/>
      <c r="D126" s="10" t="s">
        <v>36</v>
      </c>
      <c r="E126" s="12"/>
      <c r="F126" s="12" t="s">
        <v>294</v>
      </c>
    </row>
    <row r="127" customFormat="false" ht="15" hidden="false" customHeight="false" outlineLevel="0" collapsed="false">
      <c r="A127" s="10" t="s">
        <v>24</v>
      </c>
      <c r="B127" s="10" t="s">
        <v>295</v>
      </c>
      <c r="C127" s="10"/>
      <c r="D127" s="10" t="s">
        <v>36</v>
      </c>
      <c r="E127" s="12"/>
      <c r="F127" s="12" t="s">
        <v>46</v>
      </c>
    </row>
    <row r="128" customFormat="false" ht="15" hidden="false" customHeight="false" outlineLevel="0" collapsed="false">
      <c r="A128" s="10" t="s">
        <v>24</v>
      </c>
      <c r="B128" s="10" t="s">
        <v>296</v>
      </c>
      <c r="C128" s="10"/>
      <c r="D128" s="10" t="s">
        <v>36</v>
      </c>
      <c r="E128" s="12"/>
      <c r="F128" s="12" t="s">
        <v>46</v>
      </c>
    </row>
    <row r="129" customFormat="false" ht="23.85" hidden="false" customHeight="false" outlineLevel="0" collapsed="false">
      <c r="A129" s="10" t="s">
        <v>24</v>
      </c>
      <c r="B129" s="10" t="s">
        <v>297</v>
      </c>
      <c r="C129" s="10"/>
      <c r="D129" s="10" t="s">
        <v>36</v>
      </c>
      <c r="E129" s="12"/>
      <c r="F129" s="12" t="s">
        <v>298</v>
      </c>
    </row>
    <row r="130" customFormat="false" ht="23.85" hidden="false" customHeight="false" outlineLevel="0" collapsed="false">
      <c r="A130" s="10" t="s">
        <v>24</v>
      </c>
      <c r="B130" s="10" t="s">
        <v>299</v>
      </c>
      <c r="C130" s="10"/>
      <c r="D130" s="10" t="s">
        <v>36</v>
      </c>
      <c r="E130" s="12"/>
      <c r="F130" s="12" t="s">
        <v>300</v>
      </c>
    </row>
    <row r="131" customFormat="false" ht="15" hidden="false" customHeight="false" outlineLevel="0" collapsed="false">
      <c r="A131" s="10" t="s">
        <v>24</v>
      </c>
      <c r="B131" s="10" t="s">
        <v>301</v>
      </c>
      <c r="C131" s="10"/>
      <c r="D131" s="10" t="s">
        <v>36</v>
      </c>
      <c r="E131" s="12"/>
      <c r="F131" s="12" t="s">
        <v>46</v>
      </c>
    </row>
    <row r="132" customFormat="false" ht="15" hidden="false" customHeight="false" outlineLevel="0" collapsed="false">
      <c r="A132" s="10" t="s">
        <v>24</v>
      </c>
      <c r="B132" s="10" t="s">
        <v>302</v>
      </c>
      <c r="C132" s="10"/>
      <c r="D132" s="10" t="s">
        <v>36</v>
      </c>
      <c r="E132" s="12"/>
      <c r="F132" s="12" t="s">
        <v>46</v>
      </c>
    </row>
    <row r="133" customFormat="false" ht="15" hidden="false" customHeight="false" outlineLevel="0" collapsed="false">
      <c r="A133" s="10" t="s">
        <v>24</v>
      </c>
      <c r="B133" s="10" t="s">
        <v>303</v>
      </c>
      <c r="C133" s="10"/>
      <c r="D133" s="10" t="s">
        <v>36</v>
      </c>
      <c r="E133" s="12"/>
      <c r="F133" s="12" t="s">
        <v>46</v>
      </c>
    </row>
    <row r="134" customFormat="false" ht="15" hidden="false" customHeight="false" outlineLevel="0" collapsed="false">
      <c r="A134" s="10" t="s">
        <v>24</v>
      </c>
      <c r="B134" s="10" t="s">
        <v>304</v>
      </c>
      <c r="C134" s="10"/>
      <c r="D134" s="10" t="s">
        <v>36</v>
      </c>
      <c r="E134" s="12"/>
      <c r="F134" s="12" t="s">
        <v>305</v>
      </c>
    </row>
    <row r="135" customFormat="false" ht="15" hidden="false" customHeight="false" outlineLevel="0" collapsed="false">
      <c r="A135" s="10" t="s">
        <v>24</v>
      </c>
      <c r="B135" s="10" t="s">
        <v>306</v>
      </c>
      <c r="C135" s="10"/>
      <c r="D135" s="10" t="s">
        <v>36</v>
      </c>
      <c r="E135" s="12"/>
      <c r="F135" s="12" t="s">
        <v>305</v>
      </c>
    </row>
    <row r="136" customFormat="false" ht="23.85" hidden="false" customHeight="false" outlineLevel="0" collapsed="false">
      <c r="A136" s="10" t="s">
        <v>24</v>
      </c>
      <c r="B136" s="10" t="s">
        <v>307</v>
      </c>
      <c r="C136" s="10"/>
      <c r="D136" s="10" t="s">
        <v>36</v>
      </c>
      <c r="E136" s="12"/>
      <c r="F136" s="12" t="s">
        <v>308</v>
      </c>
    </row>
    <row r="137" customFormat="false" ht="15" hidden="false" customHeight="false" outlineLevel="0" collapsed="false">
      <c r="A137" s="10" t="s">
        <v>24</v>
      </c>
      <c r="B137" s="10" t="s">
        <v>309</v>
      </c>
      <c r="C137" s="10"/>
      <c r="D137" s="10" t="s">
        <v>36</v>
      </c>
      <c r="E137" s="12"/>
      <c r="F137" s="12" t="s">
        <v>305</v>
      </c>
    </row>
    <row r="138" customFormat="false" ht="15" hidden="false" customHeight="false" outlineLevel="0" collapsed="false">
      <c r="A138" s="10" t="s">
        <v>24</v>
      </c>
      <c r="B138" s="10" t="s">
        <v>310</v>
      </c>
      <c r="C138" s="10"/>
      <c r="D138" s="10" t="s">
        <v>36</v>
      </c>
      <c r="E138" s="12"/>
      <c r="F138" s="12" t="s">
        <v>305</v>
      </c>
    </row>
    <row r="139" customFormat="false" ht="15" hidden="false" customHeight="false" outlineLevel="0" collapsed="false">
      <c r="A139" s="10" t="s">
        <v>24</v>
      </c>
      <c r="B139" s="10" t="s">
        <v>311</v>
      </c>
      <c r="C139" s="10"/>
      <c r="D139" s="10" t="s">
        <v>36</v>
      </c>
      <c r="E139" s="12"/>
      <c r="F139" s="12" t="s">
        <v>305</v>
      </c>
    </row>
    <row r="140" customFormat="false" ht="15" hidden="false" customHeight="false" outlineLevel="0" collapsed="false">
      <c r="A140" s="10" t="s">
        <v>24</v>
      </c>
      <c r="B140" s="10" t="s">
        <v>312</v>
      </c>
      <c r="C140" s="10"/>
      <c r="D140" s="10" t="s">
        <v>36</v>
      </c>
      <c r="E140" s="12"/>
      <c r="F140" s="12" t="s">
        <v>305</v>
      </c>
    </row>
    <row r="141" customFormat="false" ht="15" hidden="false" customHeight="false" outlineLevel="0" collapsed="false">
      <c r="A141" s="10" t="s">
        <v>24</v>
      </c>
      <c r="B141" s="10" t="s">
        <v>313</v>
      </c>
      <c r="C141" s="10"/>
      <c r="D141" s="10" t="s">
        <v>36</v>
      </c>
      <c r="E141" s="12"/>
      <c r="F141" s="12" t="s">
        <v>314</v>
      </c>
    </row>
    <row r="142" customFormat="false" ht="23.85" hidden="false" customHeight="false" outlineLevel="0" collapsed="false">
      <c r="A142" s="10" t="s">
        <v>24</v>
      </c>
      <c r="B142" s="10" t="s">
        <v>315</v>
      </c>
      <c r="C142" s="10"/>
      <c r="D142" s="10" t="s">
        <v>36</v>
      </c>
      <c r="E142" s="12"/>
      <c r="F142" s="12" t="s">
        <v>316</v>
      </c>
    </row>
    <row r="143" customFormat="false" ht="23.85" hidden="false" customHeight="false" outlineLevel="0" collapsed="false">
      <c r="A143" s="10" t="s">
        <v>24</v>
      </c>
      <c r="B143" s="10" t="s">
        <v>317</v>
      </c>
      <c r="C143" s="10"/>
      <c r="D143" s="11" t="s">
        <v>32</v>
      </c>
      <c r="E143" s="12" t="s">
        <v>318</v>
      </c>
      <c r="F143" s="12" t="s">
        <v>319</v>
      </c>
    </row>
    <row r="144" customFormat="false" ht="23.85" hidden="false" customHeight="false" outlineLevel="0" collapsed="false">
      <c r="A144" s="10" t="s">
        <v>24</v>
      </c>
      <c r="B144" s="10" t="s">
        <v>320</v>
      </c>
      <c r="C144" s="10"/>
      <c r="D144" s="11" t="s">
        <v>32</v>
      </c>
      <c r="E144" s="12" t="s">
        <v>321</v>
      </c>
      <c r="F144" s="12" t="s">
        <v>322</v>
      </c>
    </row>
    <row r="145" customFormat="false" ht="23.85" hidden="false" customHeight="false" outlineLevel="0" collapsed="false">
      <c r="A145" s="10" t="s">
        <v>24</v>
      </c>
      <c r="B145" s="10" t="s">
        <v>323</v>
      </c>
      <c r="C145" s="10"/>
      <c r="D145" s="11" t="s">
        <v>32</v>
      </c>
      <c r="E145" s="12" t="s">
        <v>324</v>
      </c>
      <c r="F145" s="12" t="s">
        <v>325</v>
      </c>
    </row>
  </sheetData>
  <autoFilter ref="A4:F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0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326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3" t="s">
        <v>328</v>
      </c>
      <c r="B4" s="3" t="s">
        <v>329</v>
      </c>
      <c r="C4" s="3" t="s">
        <v>330</v>
      </c>
      <c r="D4" s="3" t="s">
        <v>331</v>
      </c>
    </row>
    <row r="5" customFormat="false" ht="23.85" hidden="false" customHeight="false" outlineLevel="0" collapsed="false">
      <c r="A5" s="12" t="s">
        <v>332</v>
      </c>
      <c r="B5" s="12" t="s">
        <v>333</v>
      </c>
      <c r="C5" s="12" t="s">
        <v>334</v>
      </c>
      <c r="D5" s="13"/>
    </row>
    <row r="6" customFormat="false" ht="23.85" hidden="false" customHeight="false" outlineLevel="0" collapsed="false">
      <c r="A6" s="12" t="s">
        <v>335</v>
      </c>
      <c r="B6" s="12" t="s">
        <v>336</v>
      </c>
      <c r="C6" s="12" t="s">
        <v>337</v>
      </c>
      <c r="D6" s="13"/>
    </row>
    <row r="7" customFormat="false" ht="15" hidden="false" customHeight="false" outlineLevel="0" collapsed="false">
      <c r="A7" s="12" t="s">
        <v>338</v>
      </c>
      <c r="B7" s="12" t="s">
        <v>339</v>
      </c>
      <c r="C7" s="12" t="s">
        <v>340</v>
      </c>
      <c r="D7" s="13"/>
    </row>
    <row r="8" customFormat="false" ht="15" hidden="false" customHeight="false" outlineLevel="0" collapsed="false">
      <c r="A8" s="12" t="s">
        <v>341</v>
      </c>
      <c r="B8" s="12" t="s">
        <v>342</v>
      </c>
      <c r="C8" s="12" t="s">
        <v>343</v>
      </c>
      <c r="D8" s="13"/>
    </row>
    <row r="9" customFormat="false" ht="15" hidden="false" customHeight="false" outlineLevel="0" collapsed="false">
      <c r="A9" s="12" t="s">
        <v>344</v>
      </c>
      <c r="B9" s="12" t="s">
        <v>345</v>
      </c>
      <c r="C9" s="12" t="s">
        <v>340</v>
      </c>
      <c r="D9" s="13"/>
    </row>
    <row r="10" customFormat="false" ht="15" hidden="false" customHeight="false" outlineLevel="0" collapsed="false">
      <c r="A10" s="12" t="s">
        <v>346</v>
      </c>
      <c r="B10" s="12" t="s">
        <v>347</v>
      </c>
      <c r="C10" s="12" t="s">
        <v>348</v>
      </c>
      <c r="D10" s="13"/>
    </row>
    <row r="11" customFormat="false" ht="15" hidden="false" customHeight="false" outlineLevel="0" collapsed="false">
      <c r="A11" s="12" t="s">
        <v>349</v>
      </c>
      <c r="B11" s="12" t="s">
        <v>350</v>
      </c>
      <c r="C11" s="12" t="s">
        <v>348</v>
      </c>
      <c r="D11" s="13"/>
    </row>
    <row r="12" customFormat="false" ht="15" hidden="false" customHeight="false" outlineLevel="0" collapsed="false">
      <c r="A12" s="12" t="s">
        <v>351</v>
      </c>
      <c r="B12" s="12" t="s">
        <v>352</v>
      </c>
      <c r="C12" s="12" t="s">
        <v>348</v>
      </c>
      <c r="D12" s="13"/>
    </row>
    <row r="13" customFormat="false" ht="15" hidden="false" customHeight="false" outlineLevel="0" collapsed="false">
      <c r="A13" s="12" t="s">
        <v>353</v>
      </c>
      <c r="B13" s="12" t="s">
        <v>354</v>
      </c>
      <c r="C13" s="12" t="s">
        <v>348</v>
      </c>
      <c r="D13" s="13"/>
    </row>
    <row r="14" customFormat="false" ht="15" hidden="false" customHeight="false" outlineLevel="0" collapsed="false">
      <c r="A14" s="12" t="s">
        <v>355</v>
      </c>
      <c r="B14" s="12" t="s">
        <v>356</v>
      </c>
      <c r="C14" s="12" t="s">
        <v>357</v>
      </c>
      <c r="D14" s="13"/>
    </row>
    <row r="16" customFormat="false" ht="15" hidden="false" customHeight="false" outlineLevel="0" collapsed="false">
      <c r="A16" s="2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2026-10-19T18:03:44Z</dcterms:created>
  <dc:creator>openpyxl</dc:creator>
  <dc:description/>
  <dc:language>en-US</dc:language>
  <cp:lastModifiedBy/>
  <dcterms:modified xsi:type="dcterms:W3CDTF">2026-10-19T18:03:44Z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